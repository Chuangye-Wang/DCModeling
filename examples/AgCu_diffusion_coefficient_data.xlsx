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ustcw\Desktop\MobilityAssessment\Binary\FCC\AgCu\"/>
    </mc:Choice>
  </mc:AlternateContent>
  <xr:revisionPtr revIDLastSave="0" documentId="13_ncr:1_{F37C0E80-BAEF-486B-A409-F805C6279833}" xr6:coauthVersionLast="47" xr6:coauthVersionMax="47" xr10:uidLastSave="{00000000-0000-0000-0000-000000000000}"/>
  <bookViews>
    <workbookView xWindow="7095" yWindow="1440" windowWidth="17535" windowHeight="14640" activeTab="1" xr2:uid="{00000000-000D-0000-FFFF-FFFF00000000}"/>
  </bookViews>
  <sheets>
    <sheet name="D0 &amp; Q" sheetId="1" r:id="rId1"/>
    <sheet name="AgCu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iK3+zdkv0mDt+4+cM4xHk31zbCpw=="/>
    </ext>
  </extLst>
</workbook>
</file>

<file path=xl/calcChain.xml><?xml version="1.0" encoding="utf-8"?>
<calcChain xmlns="http://schemas.openxmlformats.org/spreadsheetml/2006/main">
  <c r="F70" i="2" l="1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69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86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24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69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25" i="2"/>
  <c r="E26" i="2"/>
  <c r="E27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2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" i="2"/>
  <c r="E24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tc={35E1842A-8B8F-492D-B8B5-265C1A78C8CE}</author>
  </authors>
  <commentList>
    <comment ref="I69" authorId="0" shapeId="0" xr:uid="{35E1842A-8B8F-492D-B8B5-265C1A78C8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10000 / T</t>
      </text>
    </comment>
  </commentList>
</comments>
</file>

<file path=xl/sharedStrings.xml><?xml version="1.0" encoding="utf-8"?>
<sst xmlns="http://schemas.openxmlformats.org/spreadsheetml/2006/main" count="441" uniqueCount="32">
  <si>
    <t>Literature</t>
  </si>
  <si>
    <t>Element</t>
  </si>
  <si>
    <t>at%</t>
  </si>
  <si>
    <t>D0 (m^2/s)</t>
  </si>
  <si>
    <t>Q (J/mol)</t>
  </si>
  <si>
    <t>Notes</t>
  </si>
  <si>
    <t xml:space="preserve"> </t>
  </si>
  <si>
    <t>A</t>
  </si>
  <si>
    <t>Al</t>
  </si>
  <si>
    <t>B</t>
  </si>
  <si>
    <t>Ni</t>
  </si>
  <si>
    <t>atomic or mole percent of first element</t>
  </si>
  <si>
    <t>Dtype</t>
  </si>
  <si>
    <t>Dexp</t>
  </si>
  <si>
    <t>DT</t>
  </si>
  <si>
    <t>DC</t>
  </si>
  <si>
    <t>T_C</t>
  </si>
  <si>
    <t>A_mp</t>
  </si>
  <si>
    <t>Weight</t>
  </si>
  <si>
    <t>TF</t>
  </si>
  <si>
    <t>Cu_mp</t>
  </si>
  <si>
    <t>log D_Ag</t>
  </si>
  <si>
    <t>D_Ag</t>
  </si>
  <si>
    <t>T_K</t>
  </si>
  <si>
    <t>Sato et al.</t>
  </si>
  <si>
    <t>Patil &amp; Sharma</t>
  </si>
  <si>
    <t>Ag_mp and interD</t>
  </si>
  <si>
    <t>Barreau et al.</t>
  </si>
  <si>
    <t>AB</t>
  </si>
  <si>
    <t>Hoffman et al.</t>
  </si>
  <si>
    <t>interD from original article</t>
  </si>
  <si>
    <t>Oikawa et 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</si>
</sst>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1" fontId="1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/>
    <xf numFmtId="0" fontId="0" fillId="0" borderId="0" xfId="0"/>
    <xf numFmtId="0" fontId="3" fillId="0" borderId="0" xfId="0" applyFont="1"/>
    <xf numFmtId="0" fontId="1" fillId="0" borderId="0" xfId="0" applyFont="1" applyBorder="1"/>
    <xf numFmtId="0" fontId="0" fillId="0" borderId="0" xfId="0" applyBorder="1"/>
    <xf numFmtId="0" fontId="1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angye Wang" id="{ECD6C461-6B5B-4FDC-8624-73E2A25E43E4}" userId="S::wang133@umd.edu::be2e3070-75a9-49b4-9085-1772530f6be1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69" dT="2023-05-02T14:15:25.63" personId="{ECD6C461-6B5B-4FDC-8624-73E2A25E43E4}" id="{35E1842A-8B8F-492D-B8B5-265C1A78C8CE}">
    <text>10000 / 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>
      <pane ySplit="1" topLeftCell="A2" activePane="bottomLeft" state="frozen"/>
      <selection pane="bottomLeft" activeCell="C31" sqref="C31"/>
    </sheetView>
  </sheetViews>
  <sheetFormatPr defaultColWidth="14.42578125" defaultRowHeight="15" customHeight="1" x14ac:dyDescent="0.25"/>
  <cols>
    <col min="1" max="1" width="10.5703125" customWidth="1"/>
    <col min="2" max="3" width="8.7109375" customWidth="1"/>
    <col min="4" max="4" width="10.7109375" customWidth="1"/>
    <col min="5" max="5" width="10" customWidth="1"/>
    <col min="6" max="6" width="8.7109375" customWidth="1"/>
    <col min="7" max="7" width="3" customWidth="1"/>
    <col min="8" max="27" width="8.7109375" customWidth="1"/>
  </cols>
  <sheetData>
    <row r="1" spans="1:10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4.25" customHeight="1" x14ac:dyDescent="0.25">
      <c r="C2" s="1"/>
      <c r="D2" s="2"/>
      <c r="E2" s="1"/>
      <c r="F2" s="1"/>
      <c r="G2" s="1" t="s">
        <v>6</v>
      </c>
    </row>
    <row r="3" spans="1:10" ht="14.25" customHeight="1" x14ac:dyDescent="0.25">
      <c r="A3" s="1"/>
      <c r="B3" s="1"/>
      <c r="C3" s="1"/>
      <c r="D3" s="2"/>
      <c r="E3" s="1"/>
      <c r="F3" s="1"/>
      <c r="G3" s="1" t="s">
        <v>6</v>
      </c>
      <c r="H3" s="1" t="s">
        <v>1</v>
      </c>
      <c r="I3" s="1" t="s">
        <v>7</v>
      </c>
      <c r="J3" s="1" t="s">
        <v>8</v>
      </c>
    </row>
    <row r="4" spans="1:10" ht="14.25" customHeight="1" x14ac:dyDescent="0.25">
      <c r="A4" s="1"/>
      <c r="B4" s="1"/>
      <c r="C4" s="1"/>
      <c r="D4" s="2"/>
      <c r="E4" s="1"/>
      <c r="F4" s="1"/>
      <c r="H4" s="1" t="s">
        <v>1</v>
      </c>
      <c r="I4" s="1" t="s">
        <v>9</v>
      </c>
      <c r="J4" s="1" t="s">
        <v>10</v>
      </c>
    </row>
    <row r="5" spans="1:10" ht="14.25" customHeight="1" x14ac:dyDescent="0.25">
      <c r="A5" s="1"/>
      <c r="B5" s="1"/>
      <c r="C5" s="1"/>
      <c r="D5" s="2"/>
      <c r="E5" s="1"/>
      <c r="F5" s="1"/>
    </row>
    <row r="6" spans="1:10" ht="14.25" customHeight="1" x14ac:dyDescent="0.25">
      <c r="A6" s="1"/>
      <c r="B6" s="1"/>
      <c r="C6" s="1"/>
      <c r="D6" s="2"/>
      <c r="E6" s="1"/>
      <c r="F6" s="1"/>
      <c r="H6" s="1" t="s">
        <v>2</v>
      </c>
      <c r="I6" s="1" t="s">
        <v>11</v>
      </c>
    </row>
    <row r="7" spans="1:10" ht="14.25" customHeight="1" x14ac:dyDescent="0.25">
      <c r="A7" s="1"/>
      <c r="B7" s="1"/>
      <c r="C7" s="1"/>
      <c r="D7" s="2"/>
      <c r="E7" s="1"/>
    </row>
    <row r="8" spans="1:10" ht="14.25" customHeight="1" x14ac:dyDescent="0.25">
      <c r="A8" s="1"/>
      <c r="B8" s="1"/>
      <c r="C8" s="1"/>
      <c r="D8" s="2"/>
      <c r="E8" s="1"/>
    </row>
    <row r="9" spans="1:10" ht="14.25" customHeight="1" x14ac:dyDescent="0.25">
      <c r="A9" s="1"/>
      <c r="B9" s="1"/>
      <c r="C9" s="1"/>
      <c r="D9" s="2"/>
      <c r="E9" s="1"/>
    </row>
    <row r="10" spans="1:10" ht="14.25" customHeight="1" x14ac:dyDescent="0.25">
      <c r="A10" s="1"/>
      <c r="B10" s="1"/>
      <c r="C10" s="1"/>
      <c r="D10" s="2"/>
      <c r="E10" s="1"/>
    </row>
    <row r="11" spans="1:10" ht="14.25" customHeight="1" x14ac:dyDescent="0.25">
      <c r="A11" s="1"/>
      <c r="B11" s="1"/>
      <c r="C11" s="1"/>
      <c r="D11" s="2"/>
      <c r="E11" s="1"/>
    </row>
    <row r="12" spans="1:10" ht="14.25" customHeight="1" x14ac:dyDescent="0.25">
      <c r="A12" s="1"/>
      <c r="B12" s="1"/>
      <c r="C12" s="1"/>
      <c r="D12" s="2"/>
      <c r="E12" s="1"/>
    </row>
    <row r="13" spans="1:10" ht="14.25" customHeight="1" x14ac:dyDescent="0.25">
      <c r="A13" s="1"/>
      <c r="B13" s="1"/>
      <c r="C13" s="1"/>
      <c r="D13" s="2"/>
      <c r="E13" s="1"/>
    </row>
    <row r="14" spans="1:10" ht="14.25" customHeight="1" x14ac:dyDescent="0.25">
      <c r="A14" s="1"/>
      <c r="B14" s="1"/>
      <c r="C14" s="1"/>
      <c r="D14" s="2"/>
      <c r="E14" s="1"/>
      <c r="F14" s="1"/>
      <c r="G14" s="1" t="s">
        <v>6</v>
      </c>
    </row>
    <row r="15" spans="1:10" ht="14.25" customHeight="1" x14ac:dyDescent="0.25">
      <c r="A15" s="1"/>
      <c r="B15" s="1"/>
      <c r="C15" s="1"/>
      <c r="D15" s="2"/>
      <c r="E15" s="1"/>
    </row>
    <row r="16" spans="1:10" ht="14.25" customHeight="1" x14ac:dyDescent="0.25">
      <c r="A16" s="1"/>
      <c r="B16" s="1"/>
      <c r="C16" s="1"/>
      <c r="D16" s="2"/>
      <c r="E16" s="1"/>
    </row>
    <row r="17" spans="1:5" ht="14.25" customHeight="1" x14ac:dyDescent="0.25">
      <c r="A17" s="1"/>
      <c r="B17" s="1"/>
      <c r="C17" s="1"/>
      <c r="D17" s="2"/>
      <c r="E17" s="1"/>
    </row>
    <row r="18" spans="1:5" ht="14.25" customHeight="1" x14ac:dyDescent="0.25">
      <c r="A18" s="1"/>
      <c r="B18" s="1"/>
      <c r="C18" s="1"/>
      <c r="D18" s="2"/>
      <c r="E18" s="1"/>
    </row>
    <row r="19" spans="1:5" ht="14.25" customHeight="1" x14ac:dyDescent="0.25">
      <c r="A19" s="1"/>
      <c r="B19" s="1"/>
      <c r="C19" s="1"/>
      <c r="D19" s="2"/>
      <c r="E19" s="1"/>
    </row>
    <row r="20" spans="1:5" ht="14.25" customHeight="1" x14ac:dyDescent="0.25"/>
    <row r="21" spans="1:5" ht="14.25" customHeight="1" x14ac:dyDescent="0.25"/>
    <row r="22" spans="1:5" ht="14.25" customHeight="1" x14ac:dyDescent="0.25"/>
    <row r="23" spans="1:5" ht="14.25" customHeight="1" x14ac:dyDescent="0.25"/>
    <row r="24" spans="1:5" ht="14.25" customHeight="1" x14ac:dyDescent="0.25"/>
    <row r="25" spans="1:5" ht="14.25" customHeight="1" x14ac:dyDescent="0.25"/>
    <row r="26" spans="1:5" ht="14.25" customHeight="1" x14ac:dyDescent="0.25"/>
    <row r="27" spans="1:5" ht="14.25" customHeight="1" x14ac:dyDescent="0.25"/>
    <row r="28" spans="1:5" ht="14.25" customHeight="1" x14ac:dyDescent="0.25"/>
    <row r="29" spans="1:5" ht="14.25" customHeight="1" x14ac:dyDescent="0.25"/>
    <row r="30" spans="1:5" ht="14.25" customHeight="1" x14ac:dyDescent="0.25"/>
    <row r="31" spans="1:5" ht="14.25" customHeight="1" x14ac:dyDescent="0.25"/>
    <row r="32" spans="1:5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56"/>
  <sheetViews>
    <sheetView tabSelected="1" workbookViewId="0">
      <pane ySplit="1" topLeftCell="A2" activePane="bottomLeft" state="frozen"/>
      <selection pane="bottomLeft" activeCell="N11" sqref="N11"/>
    </sheetView>
  </sheetViews>
  <sheetFormatPr defaultColWidth="14.42578125" defaultRowHeight="15" customHeight="1" x14ac:dyDescent="0.25"/>
  <cols>
    <col min="1" max="1" width="16.28515625" customWidth="1"/>
    <col min="2" max="5" width="10" customWidth="1"/>
    <col min="6" max="6" width="10" style="8" customWidth="1"/>
    <col min="7" max="8" width="10" customWidth="1"/>
    <col min="9" max="22" width="8.7109375" customWidth="1"/>
  </cols>
  <sheetData>
    <row r="1" spans="1:22" ht="14.25" customHeight="1" x14ac:dyDescent="0.25">
      <c r="A1" s="1" t="s">
        <v>0</v>
      </c>
      <c r="B1" s="1" t="s">
        <v>12</v>
      </c>
      <c r="C1" s="1" t="s">
        <v>1</v>
      </c>
      <c r="D1" s="10" t="s">
        <v>17</v>
      </c>
      <c r="E1" s="10" t="s">
        <v>16</v>
      </c>
      <c r="F1" s="7" t="s">
        <v>13</v>
      </c>
      <c r="G1" s="1" t="s">
        <v>19</v>
      </c>
      <c r="H1" s="4" t="s">
        <v>18</v>
      </c>
      <c r="I1" s="10" t="s">
        <v>23</v>
      </c>
      <c r="J1" s="4" t="s">
        <v>20</v>
      </c>
      <c r="K1" s="10" t="s">
        <v>21</v>
      </c>
      <c r="L1" s="4" t="s">
        <v>22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4.25" customHeight="1" x14ac:dyDescent="0.25">
      <c r="A2" s="1" t="s">
        <v>24</v>
      </c>
      <c r="B2" s="1" t="s">
        <v>14</v>
      </c>
      <c r="C2" s="1" t="s">
        <v>7</v>
      </c>
      <c r="D2" s="3">
        <f>100-J2</f>
        <v>99.164677999999995</v>
      </c>
      <c r="E2" s="1">
        <f>I2 - 273</f>
        <v>850</v>
      </c>
      <c r="F2" s="4">
        <f>L2</f>
        <v>1.0799409266631026E-13</v>
      </c>
      <c r="G2" s="1"/>
      <c r="H2" s="1" t="s">
        <v>6</v>
      </c>
      <c r="I2" s="1">
        <v>1123</v>
      </c>
      <c r="J2" s="4">
        <v>0.83532200000000001</v>
      </c>
      <c r="K2" s="4">
        <v>-12.9666</v>
      </c>
      <c r="L2" s="1">
        <f>10^K2</f>
        <v>1.0799409266631026E-13</v>
      </c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4.25" customHeight="1" x14ac:dyDescent="0.25">
      <c r="A3" s="4" t="s">
        <v>24</v>
      </c>
      <c r="B3" s="4" t="s">
        <v>14</v>
      </c>
      <c r="C3" s="4" t="s">
        <v>7</v>
      </c>
      <c r="D3" s="3">
        <f t="shared" ref="D3:D23" si="0">100-J3</f>
        <v>97.446299999999994</v>
      </c>
      <c r="E3" s="4">
        <f t="shared" ref="E3:E66" si="1">I3 - 273</f>
        <v>850</v>
      </c>
      <c r="F3" s="4">
        <f t="shared" ref="F3:F23" si="2">L3</f>
        <v>1.4531150472893862E-13</v>
      </c>
      <c r="G3" s="1"/>
      <c r="H3" s="1" t="s">
        <v>6</v>
      </c>
      <c r="I3" s="4">
        <v>1123</v>
      </c>
      <c r="J3" s="4">
        <v>2.5537000000000001</v>
      </c>
      <c r="K3" s="4">
        <v>-12.8377</v>
      </c>
      <c r="L3" s="4">
        <f t="shared" ref="L3:L66" si="3">10^K3</f>
        <v>1.4531150472893862E-13</v>
      </c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4.25" customHeight="1" x14ac:dyDescent="0.25">
      <c r="A4" s="4" t="s">
        <v>24</v>
      </c>
      <c r="B4" s="4" t="s">
        <v>14</v>
      </c>
      <c r="C4" s="4" t="s">
        <v>7</v>
      </c>
      <c r="D4" s="3">
        <f t="shared" si="0"/>
        <v>96.634839999999997</v>
      </c>
      <c r="E4" s="4">
        <f t="shared" si="1"/>
        <v>850</v>
      </c>
      <c r="F4" s="4">
        <f t="shared" si="2"/>
        <v>1.630797361023593E-13</v>
      </c>
      <c r="G4" s="1"/>
      <c r="H4" s="1" t="s">
        <v>6</v>
      </c>
      <c r="I4" s="4">
        <v>1123</v>
      </c>
      <c r="J4" s="4">
        <v>3.3651599999999999</v>
      </c>
      <c r="K4" s="4">
        <v>-12.787599999999999</v>
      </c>
      <c r="L4" s="4">
        <f t="shared" si="3"/>
        <v>1.630797361023593E-13</v>
      </c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4.25" customHeight="1" x14ac:dyDescent="0.25">
      <c r="A5" s="4" t="s">
        <v>24</v>
      </c>
      <c r="B5" s="4" t="s">
        <v>14</v>
      </c>
      <c r="C5" s="4" t="s">
        <v>7</v>
      </c>
      <c r="D5" s="3">
        <f t="shared" si="0"/>
        <v>99.140810999999999</v>
      </c>
      <c r="E5" s="4">
        <f t="shared" si="1"/>
        <v>820</v>
      </c>
      <c r="F5" s="4">
        <f t="shared" si="2"/>
        <v>6.1659500186147887E-14</v>
      </c>
      <c r="G5" s="1"/>
      <c r="H5" s="1" t="s">
        <v>6</v>
      </c>
      <c r="I5" s="4">
        <v>1093</v>
      </c>
      <c r="J5" s="4">
        <v>0.85918899999999998</v>
      </c>
      <c r="K5" s="4">
        <v>-13.21</v>
      </c>
      <c r="L5" s="4">
        <f t="shared" si="3"/>
        <v>6.1659500186147887E-14</v>
      </c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4.25" customHeight="1" x14ac:dyDescent="0.25">
      <c r="A6" s="4" t="s">
        <v>24</v>
      </c>
      <c r="B6" s="4" t="s">
        <v>14</v>
      </c>
      <c r="C6" s="4" t="s">
        <v>7</v>
      </c>
      <c r="D6" s="3">
        <f t="shared" si="0"/>
        <v>97.446299999999994</v>
      </c>
      <c r="E6" s="4">
        <f t="shared" si="1"/>
        <v>820</v>
      </c>
      <c r="F6" s="4">
        <f t="shared" si="2"/>
        <v>8.4333475776427351E-14</v>
      </c>
      <c r="G6" s="1"/>
      <c r="H6" s="1" t="s">
        <v>6</v>
      </c>
      <c r="I6" s="4">
        <v>1093</v>
      </c>
      <c r="J6" s="4">
        <v>2.5537000000000001</v>
      </c>
      <c r="K6" s="4">
        <v>-13.074</v>
      </c>
      <c r="L6" s="4">
        <f t="shared" si="3"/>
        <v>8.4333475776427351E-14</v>
      </c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4.25" customHeight="1" x14ac:dyDescent="0.25">
      <c r="A7" s="4" t="s">
        <v>24</v>
      </c>
      <c r="B7" s="4" t="s">
        <v>14</v>
      </c>
      <c r="C7" s="4" t="s">
        <v>7</v>
      </c>
      <c r="D7" s="3">
        <f t="shared" si="0"/>
        <v>96.634839999999997</v>
      </c>
      <c r="E7" s="4">
        <f t="shared" si="1"/>
        <v>820</v>
      </c>
      <c r="F7" s="4">
        <f t="shared" si="2"/>
        <v>9.3110787546782652E-14</v>
      </c>
      <c r="G7" s="1"/>
      <c r="H7" s="1" t="s">
        <v>6</v>
      </c>
      <c r="I7" s="4">
        <v>1093</v>
      </c>
      <c r="J7" s="4">
        <v>3.3651599999999999</v>
      </c>
      <c r="K7" s="4">
        <v>-13.031000000000001</v>
      </c>
      <c r="L7" s="4">
        <f t="shared" si="3"/>
        <v>9.3110787546782652E-14</v>
      </c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4.25" customHeight="1" x14ac:dyDescent="0.25">
      <c r="A8" s="4" t="s">
        <v>24</v>
      </c>
      <c r="B8" s="4" t="s">
        <v>14</v>
      </c>
      <c r="C8" s="4" t="s">
        <v>7</v>
      </c>
      <c r="D8" s="3">
        <f t="shared" si="0"/>
        <v>99.164677999999995</v>
      </c>
      <c r="E8" s="4">
        <f t="shared" si="1"/>
        <v>795</v>
      </c>
      <c r="F8" s="4">
        <f t="shared" si="2"/>
        <v>3.8220819974268112E-14</v>
      </c>
      <c r="G8" s="1"/>
      <c r="H8" s="1" t="s">
        <v>6</v>
      </c>
      <c r="I8" s="4">
        <v>1068</v>
      </c>
      <c r="J8" s="4">
        <v>0.83532200000000001</v>
      </c>
      <c r="K8" s="4">
        <v>-13.4177</v>
      </c>
      <c r="L8" s="4">
        <f t="shared" si="3"/>
        <v>3.8220819974268112E-14</v>
      </c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4.25" customHeight="1" x14ac:dyDescent="0.25">
      <c r="A9" s="4" t="s">
        <v>24</v>
      </c>
      <c r="B9" s="4" t="s">
        <v>14</v>
      </c>
      <c r="C9" s="4" t="s">
        <v>7</v>
      </c>
      <c r="D9" s="3">
        <f t="shared" si="0"/>
        <v>97.446299999999994</v>
      </c>
      <c r="E9" s="4">
        <f t="shared" si="1"/>
        <v>795</v>
      </c>
      <c r="F9" s="4">
        <f t="shared" si="2"/>
        <v>5.2287755531344038E-14</v>
      </c>
      <c r="G9" s="1"/>
      <c r="H9" s="1" t="s">
        <v>6</v>
      </c>
      <c r="I9" s="4">
        <v>1068</v>
      </c>
      <c r="J9" s="4">
        <v>2.5537000000000001</v>
      </c>
      <c r="K9" s="4">
        <v>-13.281599999999999</v>
      </c>
      <c r="L9" s="4">
        <f t="shared" si="3"/>
        <v>5.2287755531344038E-14</v>
      </c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4.25" customHeight="1" x14ac:dyDescent="0.25">
      <c r="A10" s="4" t="s">
        <v>24</v>
      </c>
      <c r="B10" s="4" t="s">
        <v>14</v>
      </c>
      <c r="C10" s="4" t="s">
        <v>7</v>
      </c>
      <c r="D10" s="3">
        <f t="shared" si="0"/>
        <v>96.634839999999997</v>
      </c>
      <c r="E10" s="4">
        <f t="shared" si="1"/>
        <v>795</v>
      </c>
      <c r="F10" s="4">
        <f t="shared" si="2"/>
        <v>5.5847019473682887E-14</v>
      </c>
      <c r="G10" s="1"/>
      <c r="H10" s="1" t="s">
        <v>6</v>
      </c>
      <c r="I10" s="4">
        <v>1068</v>
      </c>
      <c r="J10" s="4">
        <v>3.3651599999999999</v>
      </c>
      <c r="K10" s="4">
        <v>-13.253</v>
      </c>
      <c r="L10" s="4">
        <f t="shared" si="3"/>
        <v>5.5847019473682887E-14</v>
      </c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4.25" customHeight="1" x14ac:dyDescent="0.25">
      <c r="A11" s="4" t="s">
        <v>25</v>
      </c>
      <c r="B11" s="4" t="s">
        <v>14</v>
      </c>
      <c r="C11" s="4" t="s">
        <v>7</v>
      </c>
      <c r="D11" s="3">
        <f t="shared" si="0"/>
        <v>97.470169999999996</v>
      </c>
      <c r="E11" s="4">
        <f t="shared" si="1"/>
        <v>780</v>
      </c>
      <c r="F11" s="4">
        <f t="shared" si="2"/>
        <v>5.4038091207907503E-14</v>
      </c>
      <c r="G11" s="1"/>
      <c r="H11" s="1" t="s">
        <v>6</v>
      </c>
      <c r="I11" s="4">
        <v>1053</v>
      </c>
      <c r="J11" s="4">
        <v>2.52983</v>
      </c>
      <c r="K11" s="4">
        <v>-13.267300000000001</v>
      </c>
      <c r="L11" s="4">
        <f t="shared" si="3"/>
        <v>5.4038091207907503E-14</v>
      </c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4.25" customHeight="1" x14ac:dyDescent="0.25">
      <c r="A12" s="4" t="s">
        <v>25</v>
      </c>
      <c r="B12" s="4" t="s">
        <v>14</v>
      </c>
      <c r="C12" s="4" t="s">
        <v>7</v>
      </c>
      <c r="D12" s="3">
        <f t="shared" si="0"/>
        <v>97.470169999999996</v>
      </c>
      <c r="E12" s="4">
        <f t="shared" si="1"/>
        <v>780</v>
      </c>
      <c r="F12" s="4">
        <f t="shared" si="2"/>
        <v>4.8150411165566591E-14</v>
      </c>
      <c r="G12" s="1"/>
      <c r="H12" s="1" t="s">
        <v>6</v>
      </c>
      <c r="I12" s="4">
        <v>1053</v>
      </c>
      <c r="J12" s="4">
        <v>2.52983</v>
      </c>
      <c r="K12" s="4">
        <v>-13.317399999999999</v>
      </c>
      <c r="L12" s="4">
        <f t="shared" si="3"/>
        <v>4.8150411165566591E-14</v>
      </c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4.25" customHeight="1" x14ac:dyDescent="0.25">
      <c r="A13" s="4" t="s">
        <v>25</v>
      </c>
      <c r="B13" s="4" t="s">
        <v>14</v>
      </c>
      <c r="C13" s="4" t="s">
        <v>7</v>
      </c>
      <c r="D13" s="3">
        <f t="shared" si="0"/>
        <v>95.560860000000005</v>
      </c>
      <c r="E13" s="4">
        <f t="shared" si="1"/>
        <v>780</v>
      </c>
      <c r="F13" s="4">
        <f t="shared" si="2"/>
        <v>5.6780602954866331E-14</v>
      </c>
      <c r="G13" s="1"/>
      <c r="H13" s="1" t="s">
        <v>6</v>
      </c>
      <c r="I13" s="4">
        <v>1053</v>
      </c>
      <c r="J13" s="4">
        <v>4.4391400000000001</v>
      </c>
      <c r="K13" s="4">
        <v>-13.245799999999999</v>
      </c>
      <c r="L13" s="4">
        <f t="shared" si="3"/>
        <v>5.6780602954866331E-14</v>
      </c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4.25" customHeight="1" x14ac:dyDescent="0.25">
      <c r="A14" s="4" t="s">
        <v>25</v>
      </c>
      <c r="B14" s="4" t="s">
        <v>14</v>
      </c>
      <c r="C14" s="4" t="s">
        <v>7</v>
      </c>
      <c r="D14" s="3">
        <f t="shared" si="0"/>
        <v>97.470169999999996</v>
      </c>
      <c r="E14" s="4">
        <f t="shared" si="1"/>
        <v>748</v>
      </c>
      <c r="F14" s="4">
        <f t="shared" si="2"/>
        <v>2.3697361843832111E-14</v>
      </c>
      <c r="G14" s="1"/>
      <c r="H14" s="1" t="s">
        <v>6</v>
      </c>
      <c r="I14" s="4">
        <v>1021</v>
      </c>
      <c r="J14" s="4">
        <v>2.52983</v>
      </c>
      <c r="K14" s="4">
        <v>-13.625299999999999</v>
      </c>
      <c r="L14" s="4">
        <f t="shared" si="3"/>
        <v>2.3697361843832111E-14</v>
      </c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4.25" customHeight="1" x14ac:dyDescent="0.25">
      <c r="A15" s="4" t="s">
        <v>25</v>
      </c>
      <c r="B15" s="4" t="s">
        <v>14</v>
      </c>
      <c r="C15" s="4" t="s">
        <v>7</v>
      </c>
      <c r="D15" s="3">
        <f t="shared" si="0"/>
        <v>95.560860000000005</v>
      </c>
      <c r="E15" s="4">
        <f t="shared" si="1"/>
        <v>748</v>
      </c>
      <c r="F15" s="4">
        <f t="shared" si="2"/>
        <v>3.1885996933863749E-14</v>
      </c>
      <c r="G15" s="1"/>
      <c r="H15" s="1" t="s">
        <v>6</v>
      </c>
      <c r="I15" s="4">
        <v>1021</v>
      </c>
      <c r="J15" s="4">
        <v>4.4391400000000001</v>
      </c>
      <c r="K15" s="4">
        <v>-13.4964</v>
      </c>
      <c r="L15" s="4">
        <f t="shared" si="3"/>
        <v>3.1885996933863749E-14</v>
      </c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4.25" customHeight="1" x14ac:dyDescent="0.25">
      <c r="A16" s="4" t="s">
        <v>25</v>
      </c>
      <c r="B16" s="4" t="s">
        <v>14</v>
      </c>
      <c r="C16" s="4" t="s">
        <v>7</v>
      </c>
      <c r="D16" s="3">
        <f t="shared" si="0"/>
        <v>95.560860000000005</v>
      </c>
      <c r="E16" s="4">
        <f t="shared" si="1"/>
        <v>748</v>
      </c>
      <c r="F16" s="4">
        <f t="shared" si="2"/>
        <v>2.8880186935140402E-14</v>
      </c>
      <c r="G16" s="1"/>
      <c r="H16" s="1" t="s">
        <v>6</v>
      </c>
      <c r="I16" s="4">
        <v>1021</v>
      </c>
      <c r="J16" s="4">
        <v>4.4391400000000001</v>
      </c>
      <c r="K16" s="4">
        <v>-13.539400000000001</v>
      </c>
      <c r="L16" s="4">
        <f t="shared" si="3"/>
        <v>2.8880186935140402E-14</v>
      </c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4.25" customHeight="1" x14ac:dyDescent="0.25">
      <c r="A17" s="4" t="s">
        <v>24</v>
      </c>
      <c r="B17" s="4" t="s">
        <v>14</v>
      </c>
      <c r="C17" s="4" t="s">
        <v>7</v>
      </c>
      <c r="D17" s="3">
        <f t="shared" si="0"/>
        <v>99.140810999999999</v>
      </c>
      <c r="E17" s="4">
        <f t="shared" si="1"/>
        <v>690</v>
      </c>
      <c r="F17" s="4">
        <f t="shared" si="2"/>
        <v>4.4096081645063685E-15</v>
      </c>
      <c r="G17" s="1"/>
      <c r="H17" s="1" t="s">
        <v>6</v>
      </c>
      <c r="I17" s="4">
        <v>963</v>
      </c>
      <c r="J17" s="4">
        <v>0.85918899999999998</v>
      </c>
      <c r="K17" s="4">
        <v>-14.355600000000001</v>
      </c>
      <c r="L17" s="4">
        <f t="shared" si="3"/>
        <v>4.4096081645063685E-15</v>
      </c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4.25" customHeight="1" x14ac:dyDescent="0.25">
      <c r="A18" s="4" t="s">
        <v>24</v>
      </c>
      <c r="B18" s="4" t="s">
        <v>14</v>
      </c>
      <c r="C18" s="4" t="s">
        <v>7</v>
      </c>
      <c r="D18" s="3">
        <f t="shared" si="0"/>
        <v>97.446299999999994</v>
      </c>
      <c r="E18" s="4">
        <f t="shared" si="1"/>
        <v>690</v>
      </c>
      <c r="F18" s="4">
        <f t="shared" si="2"/>
        <v>5.9333504438000502E-15</v>
      </c>
      <c r="G18" s="1"/>
      <c r="H18" s="1" t="s">
        <v>6</v>
      </c>
      <c r="I18" s="4">
        <v>963</v>
      </c>
      <c r="J18" s="4">
        <v>2.5537000000000001</v>
      </c>
      <c r="K18" s="4">
        <v>-14.226699999999999</v>
      </c>
      <c r="L18" s="4">
        <f t="shared" si="3"/>
        <v>5.9333504438000502E-15</v>
      </c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4.25" customHeight="1" x14ac:dyDescent="0.25">
      <c r="A19" s="4" t="s">
        <v>24</v>
      </c>
      <c r="B19" s="4" t="s">
        <v>14</v>
      </c>
      <c r="C19" s="4" t="s">
        <v>7</v>
      </c>
      <c r="D19" s="3">
        <f t="shared" si="0"/>
        <v>96.634839999999997</v>
      </c>
      <c r="E19" s="4">
        <f t="shared" si="1"/>
        <v>690</v>
      </c>
      <c r="F19" s="4">
        <f t="shared" si="2"/>
        <v>6.9968086997856117E-15</v>
      </c>
      <c r="G19" s="1"/>
      <c r="H19" s="1" t="s">
        <v>6</v>
      </c>
      <c r="I19" s="4">
        <v>963</v>
      </c>
      <c r="J19" s="4">
        <v>3.3651599999999999</v>
      </c>
      <c r="K19" s="4">
        <v>-14.155099999999999</v>
      </c>
      <c r="L19" s="4">
        <f t="shared" si="3"/>
        <v>6.9968086997856117E-15</v>
      </c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4.25" customHeight="1" x14ac:dyDescent="0.25">
      <c r="A20" s="4" t="s">
        <v>25</v>
      </c>
      <c r="B20" s="4" t="s">
        <v>14</v>
      </c>
      <c r="C20" s="4" t="s">
        <v>7</v>
      </c>
      <c r="D20" s="3">
        <f t="shared" si="0"/>
        <v>97.494029999999995</v>
      </c>
      <c r="E20" s="4">
        <f t="shared" si="1"/>
        <v>653</v>
      </c>
      <c r="F20" s="4">
        <f t="shared" si="2"/>
        <v>2.8255305024595566E-15</v>
      </c>
      <c r="G20" s="1"/>
      <c r="H20" s="1" t="s">
        <v>6</v>
      </c>
      <c r="I20" s="4">
        <v>926</v>
      </c>
      <c r="J20" s="4">
        <v>2.50597</v>
      </c>
      <c r="K20" s="4">
        <v>-14.5489</v>
      </c>
      <c r="L20" s="4">
        <f t="shared" si="3"/>
        <v>2.8255305024595566E-15</v>
      </c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4.25" customHeight="1" x14ac:dyDescent="0.25">
      <c r="A21" s="4" t="s">
        <v>25</v>
      </c>
      <c r="B21" s="4" t="s">
        <v>14</v>
      </c>
      <c r="C21" s="4" t="s">
        <v>7</v>
      </c>
      <c r="D21" s="3">
        <f t="shared" si="0"/>
        <v>97.470169999999996</v>
      </c>
      <c r="E21" s="4">
        <f t="shared" si="1"/>
        <v>653</v>
      </c>
      <c r="F21" s="4">
        <f t="shared" si="2"/>
        <v>2.5591750909098789E-15</v>
      </c>
      <c r="G21" s="1"/>
      <c r="H21" s="1" t="s">
        <v>6</v>
      </c>
      <c r="I21" s="4">
        <v>926</v>
      </c>
      <c r="J21" s="4">
        <v>2.52983</v>
      </c>
      <c r="K21" s="4">
        <v>-14.591900000000001</v>
      </c>
      <c r="L21" s="4">
        <f t="shared" si="3"/>
        <v>2.5591750909098789E-15</v>
      </c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4.25" customHeight="1" x14ac:dyDescent="0.25">
      <c r="A22" s="4" t="s">
        <v>25</v>
      </c>
      <c r="B22" s="4" t="s">
        <v>14</v>
      </c>
      <c r="C22" s="4" t="s">
        <v>7</v>
      </c>
      <c r="D22" s="3">
        <f t="shared" si="0"/>
        <v>95.560860000000005</v>
      </c>
      <c r="E22" s="4">
        <f t="shared" si="1"/>
        <v>653</v>
      </c>
      <c r="F22" s="4">
        <f t="shared" si="2"/>
        <v>3.1710274389478838E-15</v>
      </c>
      <c r="G22" s="1"/>
      <c r="H22" s="1" t="s">
        <v>6</v>
      </c>
      <c r="I22" s="4">
        <v>926</v>
      </c>
      <c r="J22" s="4">
        <v>4.4391400000000001</v>
      </c>
      <c r="K22" s="4">
        <v>-14.498799999999999</v>
      </c>
      <c r="L22" s="4">
        <f t="shared" si="3"/>
        <v>3.1710274389478838E-15</v>
      </c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4.25" customHeight="1" x14ac:dyDescent="0.25">
      <c r="A23" s="4" t="s">
        <v>25</v>
      </c>
      <c r="B23" s="4" t="s">
        <v>14</v>
      </c>
      <c r="C23" s="4" t="s">
        <v>7</v>
      </c>
      <c r="D23" s="3">
        <f t="shared" si="0"/>
        <v>95.560860000000005</v>
      </c>
      <c r="E23" s="4">
        <f t="shared" si="1"/>
        <v>653</v>
      </c>
      <c r="F23" s="4">
        <f t="shared" si="2"/>
        <v>2.7790732888090861E-15</v>
      </c>
      <c r="G23" s="1"/>
      <c r="H23" s="1" t="s">
        <v>6</v>
      </c>
      <c r="I23" s="4">
        <v>926</v>
      </c>
      <c r="J23" s="4">
        <v>4.4391400000000001</v>
      </c>
      <c r="K23" s="4">
        <v>-14.556100000000001</v>
      </c>
      <c r="L23" s="4">
        <f t="shared" si="3"/>
        <v>2.7790732888090861E-15</v>
      </c>
      <c r="M23" s="1"/>
      <c r="N23" s="1"/>
      <c r="O23" s="10" t="s">
        <v>30</v>
      </c>
      <c r="P23" s="1"/>
      <c r="Q23" s="1"/>
      <c r="R23" s="1"/>
      <c r="S23" s="1"/>
      <c r="T23" s="1"/>
      <c r="U23" s="1"/>
      <c r="V23" s="1"/>
    </row>
    <row r="24" spans="1:22" ht="14.25" customHeight="1" x14ac:dyDescent="0.25">
      <c r="A24" s="10" t="s">
        <v>31</v>
      </c>
      <c r="B24" s="10" t="s">
        <v>15</v>
      </c>
      <c r="C24" s="10" t="s">
        <v>28</v>
      </c>
      <c r="D24" s="9">
        <f>J24</f>
        <v>0</v>
      </c>
      <c r="E24" s="4">
        <f t="shared" si="1"/>
        <v>1000</v>
      </c>
      <c r="F24" s="4">
        <f>O24*0.00000000000001</f>
        <v>5.9000000000000001E-13</v>
      </c>
      <c r="G24" s="1"/>
      <c r="H24" s="1"/>
      <c r="I24" s="6">
        <v>1273</v>
      </c>
      <c r="J24" s="6">
        <v>0</v>
      </c>
      <c r="K24" s="6">
        <v>-12.2021</v>
      </c>
      <c r="L24" s="6">
        <f t="shared" si="3"/>
        <v>6.2791375968009358E-13</v>
      </c>
      <c r="M24" s="6" t="s">
        <v>26</v>
      </c>
      <c r="N24" s="1"/>
      <c r="O24" s="1">
        <v>59</v>
      </c>
      <c r="P24" s="1"/>
      <c r="Q24" s="1"/>
      <c r="R24" s="1"/>
      <c r="S24" s="1"/>
      <c r="T24" s="1"/>
      <c r="U24" s="1"/>
      <c r="V24" s="1"/>
    </row>
    <row r="25" spans="1:22" ht="14.25" customHeight="1" x14ac:dyDescent="0.25">
      <c r="A25" s="10" t="s">
        <v>31</v>
      </c>
      <c r="B25" s="10" t="s">
        <v>15</v>
      </c>
      <c r="C25" s="10" t="s">
        <v>28</v>
      </c>
      <c r="D25" s="9">
        <f t="shared" ref="D25:D68" si="4">J25</f>
        <v>0.5</v>
      </c>
      <c r="E25" s="4">
        <f t="shared" si="1"/>
        <v>1000</v>
      </c>
      <c r="F25" s="4">
        <f t="shared" ref="F25:F68" si="5">O25*0.00000000000001</f>
        <v>6.4E-13</v>
      </c>
      <c r="H25" s="1"/>
      <c r="I25" s="4">
        <v>1273</v>
      </c>
      <c r="J25" s="4">
        <v>0.5</v>
      </c>
      <c r="K25" s="4">
        <v>-12.1608</v>
      </c>
      <c r="L25" s="4">
        <f t="shared" si="3"/>
        <v>6.9055774421968243E-13</v>
      </c>
      <c r="M25" s="1"/>
      <c r="N25" s="1"/>
      <c r="O25" s="1">
        <v>64</v>
      </c>
      <c r="P25" s="1"/>
      <c r="Q25" s="1"/>
      <c r="R25" s="1"/>
      <c r="S25" s="1"/>
      <c r="T25" s="1"/>
      <c r="U25" s="1"/>
      <c r="V25" s="1"/>
    </row>
    <row r="26" spans="1:22" ht="14.25" customHeight="1" x14ac:dyDescent="0.25">
      <c r="A26" s="10" t="s">
        <v>31</v>
      </c>
      <c r="B26" s="10" t="s">
        <v>15</v>
      </c>
      <c r="C26" s="10" t="s">
        <v>28</v>
      </c>
      <c r="D26" s="9">
        <f t="shared" si="4"/>
        <v>1</v>
      </c>
      <c r="E26" s="4">
        <f t="shared" si="1"/>
        <v>1000</v>
      </c>
      <c r="F26" s="4">
        <f t="shared" si="5"/>
        <v>6.3000000000000004E-13</v>
      </c>
      <c r="G26" s="1"/>
      <c r="H26" s="1"/>
      <c r="I26" s="4">
        <v>1273</v>
      </c>
      <c r="J26" s="4">
        <v>1</v>
      </c>
      <c r="K26" s="4">
        <v>-12.171099999999999</v>
      </c>
      <c r="L26" s="4">
        <f t="shared" si="3"/>
        <v>6.743727297598056E-13</v>
      </c>
      <c r="M26" s="1"/>
      <c r="N26" s="1"/>
      <c r="O26" s="1">
        <v>63</v>
      </c>
      <c r="P26" s="1"/>
      <c r="Q26" s="1"/>
      <c r="R26" s="1"/>
      <c r="S26" s="1"/>
      <c r="T26" s="1"/>
      <c r="U26" s="1"/>
      <c r="V26" s="1"/>
    </row>
    <row r="27" spans="1:22" ht="14.25" customHeight="1" x14ac:dyDescent="0.25">
      <c r="A27" s="10" t="s">
        <v>31</v>
      </c>
      <c r="B27" s="10" t="s">
        <v>15</v>
      </c>
      <c r="C27" s="10" t="s">
        <v>28</v>
      </c>
      <c r="D27" s="9">
        <f t="shared" si="4"/>
        <v>1.5</v>
      </c>
      <c r="E27" s="4">
        <f t="shared" si="1"/>
        <v>1000</v>
      </c>
      <c r="F27" s="4">
        <f t="shared" si="5"/>
        <v>7.0000000000000005E-13</v>
      </c>
      <c r="G27" s="1"/>
      <c r="H27" s="1"/>
      <c r="I27" s="4">
        <v>1273</v>
      </c>
      <c r="J27" s="4">
        <v>1.5</v>
      </c>
      <c r="K27" s="4">
        <v>-12.1195</v>
      </c>
      <c r="L27" s="4">
        <f t="shared" si="3"/>
        <v>7.5945142266786713E-13</v>
      </c>
      <c r="M27" s="1"/>
      <c r="N27" s="1"/>
      <c r="O27" s="10">
        <v>70</v>
      </c>
      <c r="P27" s="1"/>
      <c r="Q27" s="1"/>
      <c r="R27" s="1"/>
      <c r="S27" s="1"/>
      <c r="T27" s="1"/>
      <c r="U27" s="1"/>
      <c r="V27" s="1"/>
    </row>
    <row r="28" spans="1:22" ht="14.25" customHeight="1" x14ac:dyDescent="0.25">
      <c r="A28" s="10" t="s">
        <v>31</v>
      </c>
      <c r="B28" s="10" t="s">
        <v>15</v>
      </c>
      <c r="C28" s="10" t="s">
        <v>28</v>
      </c>
      <c r="D28" s="9">
        <f t="shared" si="4"/>
        <v>2</v>
      </c>
      <c r="E28" s="4">
        <f t="shared" si="1"/>
        <v>1000</v>
      </c>
      <c r="F28" s="4">
        <f t="shared" si="5"/>
        <v>7.1E-13</v>
      </c>
      <c r="G28" s="1"/>
      <c r="H28" s="1"/>
      <c r="I28" s="4">
        <v>1273</v>
      </c>
      <c r="J28" s="4">
        <v>2</v>
      </c>
      <c r="K28" s="4">
        <v>-12.1195</v>
      </c>
      <c r="L28" s="4">
        <f t="shared" si="3"/>
        <v>7.5945142266786713E-13</v>
      </c>
      <c r="M28" s="1"/>
      <c r="N28" s="1"/>
      <c r="O28" s="10">
        <v>71</v>
      </c>
      <c r="P28" s="1"/>
      <c r="Q28" s="1"/>
      <c r="R28" s="1"/>
      <c r="S28" s="1"/>
      <c r="T28" s="1"/>
      <c r="U28" s="1"/>
      <c r="V28" s="1"/>
    </row>
    <row r="29" spans="1:22" ht="14.25" customHeight="1" x14ac:dyDescent="0.25">
      <c r="A29" s="10" t="s">
        <v>31</v>
      </c>
      <c r="B29" s="10" t="s">
        <v>15</v>
      </c>
      <c r="C29" s="10" t="s">
        <v>28</v>
      </c>
      <c r="D29" s="9">
        <f t="shared" si="4"/>
        <v>0</v>
      </c>
      <c r="E29" s="4">
        <f t="shared" si="1"/>
        <v>949</v>
      </c>
      <c r="F29" s="4">
        <f t="shared" si="5"/>
        <v>2.7000000000000001E-13</v>
      </c>
      <c r="G29" s="1"/>
      <c r="H29" s="1"/>
      <c r="I29" s="4">
        <v>1222</v>
      </c>
      <c r="J29" s="4">
        <v>0</v>
      </c>
      <c r="K29" s="4">
        <v>-12.5428</v>
      </c>
      <c r="L29" s="4">
        <f t="shared" si="3"/>
        <v>2.8654972763642325E-13</v>
      </c>
      <c r="M29" s="1"/>
      <c r="N29" s="1"/>
      <c r="O29" s="10">
        <v>27</v>
      </c>
      <c r="P29" s="1"/>
      <c r="Q29" s="1"/>
      <c r="R29" s="1"/>
      <c r="S29" s="1"/>
      <c r="T29" s="1"/>
      <c r="U29" s="1"/>
      <c r="V29" s="1"/>
    </row>
    <row r="30" spans="1:22" ht="14.25" customHeight="1" x14ac:dyDescent="0.25">
      <c r="A30" s="10" t="s">
        <v>31</v>
      </c>
      <c r="B30" s="10" t="s">
        <v>15</v>
      </c>
      <c r="C30" s="10" t="s">
        <v>28</v>
      </c>
      <c r="D30" s="9">
        <f t="shared" si="4"/>
        <v>0.5</v>
      </c>
      <c r="E30" s="4">
        <f t="shared" si="1"/>
        <v>949</v>
      </c>
      <c r="F30" s="4">
        <f t="shared" si="5"/>
        <v>3.0999999999999999E-13</v>
      </c>
      <c r="G30" s="1"/>
      <c r="H30" s="1"/>
      <c r="I30" s="4">
        <v>1222</v>
      </c>
      <c r="J30" s="4">
        <v>0.5</v>
      </c>
      <c r="K30" s="4">
        <v>-12.4808</v>
      </c>
      <c r="L30" s="4">
        <f t="shared" si="3"/>
        <v>3.3052171686997934E-13</v>
      </c>
      <c r="M30" s="1"/>
      <c r="N30" s="1"/>
      <c r="O30" s="10">
        <v>31</v>
      </c>
      <c r="P30" s="1"/>
      <c r="Q30" s="1"/>
      <c r="R30" s="1"/>
      <c r="S30" s="1"/>
      <c r="T30" s="1"/>
      <c r="U30" s="1"/>
      <c r="V30" s="1"/>
    </row>
    <row r="31" spans="1:22" ht="14.25" customHeight="1" x14ac:dyDescent="0.25">
      <c r="A31" s="10" t="s">
        <v>31</v>
      </c>
      <c r="B31" s="10" t="s">
        <v>15</v>
      </c>
      <c r="C31" s="10" t="s">
        <v>28</v>
      </c>
      <c r="D31" s="9">
        <f t="shared" si="4"/>
        <v>1</v>
      </c>
      <c r="E31" s="4">
        <f t="shared" si="1"/>
        <v>949</v>
      </c>
      <c r="F31" s="4">
        <f t="shared" si="5"/>
        <v>3.2E-13</v>
      </c>
      <c r="G31" s="1"/>
      <c r="H31" s="1"/>
      <c r="I31" s="4">
        <v>1222</v>
      </c>
      <c r="J31" s="4">
        <v>1</v>
      </c>
      <c r="K31" s="4">
        <v>-12.4808</v>
      </c>
      <c r="L31" s="4">
        <f t="shared" si="3"/>
        <v>3.3052171686997934E-13</v>
      </c>
      <c r="M31" s="1"/>
      <c r="N31" s="1"/>
      <c r="O31" s="10">
        <v>32</v>
      </c>
      <c r="P31" s="1"/>
      <c r="Q31" s="1"/>
      <c r="R31" s="1"/>
      <c r="S31" s="1"/>
      <c r="T31" s="1"/>
      <c r="U31" s="1"/>
      <c r="V31" s="1"/>
    </row>
    <row r="32" spans="1:22" ht="14.25" customHeight="1" x14ac:dyDescent="0.25">
      <c r="A32" s="10" t="s">
        <v>31</v>
      </c>
      <c r="B32" s="10" t="s">
        <v>15</v>
      </c>
      <c r="C32" s="10" t="s">
        <v>28</v>
      </c>
      <c r="D32" s="9">
        <f t="shared" si="4"/>
        <v>1.5</v>
      </c>
      <c r="E32" s="4">
        <f t="shared" si="1"/>
        <v>949</v>
      </c>
      <c r="F32" s="4">
        <f t="shared" si="5"/>
        <v>3.5000000000000002E-13</v>
      </c>
      <c r="G32" s="1"/>
      <c r="H32" s="1"/>
      <c r="I32" s="4">
        <v>1222</v>
      </c>
      <c r="J32" s="4">
        <v>1.5</v>
      </c>
      <c r="K32" s="4">
        <v>-12.4292</v>
      </c>
      <c r="L32" s="4">
        <f t="shared" si="3"/>
        <v>3.7222025301784951E-13</v>
      </c>
      <c r="M32" s="1"/>
      <c r="N32" s="1"/>
      <c r="O32" s="10">
        <v>35</v>
      </c>
      <c r="P32" s="1"/>
      <c r="Q32" s="1"/>
      <c r="R32" s="1"/>
      <c r="S32" s="1"/>
      <c r="T32" s="1"/>
      <c r="U32" s="1"/>
      <c r="V32" s="1"/>
    </row>
    <row r="33" spans="1:22" ht="14.25" customHeight="1" x14ac:dyDescent="0.25">
      <c r="A33" s="10" t="s">
        <v>31</v>
      </c>
      <c r="B33" s="10" t="s">
        <v>15</v>
      </c>
      <c r="C33" s="10" t="s">
        <v>28</v>
      </c>
      <c r="D33" s="9">
        <f t="shared" si="4"/>
        <v>2</v>
      </c>
      <c r="E33" s="4">
        <f t="shared" si="1"/>
        <v>949</v>
      </c>
      <c r="F33" s="4">
        <f t="shared" si="5"/>
        <v>3.3000000000000001E-13</v>
      </c>
      <c r="G33" s="1"/>
      <c r="H33" s="1"/>
      <c r="I33" s="4">
        <v>1222</v>
      </c>
      <c r="J33" s="4">
        <v>2</v>
      </c>
      <c r="K33" s="4">
        <v>-12.4499</v>
      </c>
      <c r="L33" s="4">
        <f t="shared" si="3"/>
        <v>3.5489509744230401E-13</v>
      </c>
      <c r="M33" s="1"/>
      <c r="N33" s="1"/>
      <c r="O33" s="10">
        <v>33</v>
      </c>
      <c r="P33" s="1"/>
      <c r="Q33" s="1"/>
      <c r="R33" s="1"/>
      <c r="S33" s="1"/>
      <c r="T33" s="1"/>
      <c r="U33" s="1"/>
      <c r="V33" s="1"/>
    </row>
    <row r="34" spans="1:22" ht="14.25" customHeight="1" x14ac:dyDescent="0.25">
      <c r="A34" s="10" t="s">
        <v>31</v>
      </c>
      <c r="B34" s="10" t="s">
        <v>15</v>
      </c>
      <c r="C34" s="10" t="s">
        <v>28</v>
      </c>
      <c r="D34" s="9">
        <f t="shared" si="4"/>
        <v>0</v>
      </c>
      <c r="E34" s="4">
        <f t="shared" si="1"/>
        <v>901</v>
      </c>
      <c r="F34" s="4">
        <f t="shared" si="5"/>
        <v>1.3900000000000001E-13</v>
      </c>
      <c r="G34" s="1"/>
      <c r="H34" s="1"/>
      <c r="I34" s="4">
        <v>1174</v>
      </c>
      <c r="J34" s="4">
        <v>0</v>
      </c>
      <c r="K34" s="4">
        <v>-12.831899999999999</v>
      </c>
      <c r="L34" s="4">
        <f t="shared" si="3"/>
        <v>1.4726515539480003E-13</v>
      </c>
      <c r="M34" s="1"/>
      <c r="N34" s="1"/>
      <c r="O34" s="10">
        <v>13.9</v>
      </c>
      <c r="P34" s="1"/>
      <c r="Q34" s="1"/>
      <c r="R34" s="1"/>
      <c r="S34" s="1"/>
      <c r="T34" s="1"/>
      <c r="U34" s="1"/>
      <c r="V34" s="1"/>
    </row>
    <row r="35" spans="1:22" ht="14.25" customHeight="1" x14ac:dyDescent="0.25">
      <c r="A35" s="10" t="s">
        <v>31</v>
      </c>
      <c r="B35" s="10" t="s">
        <v>15</v>
      </c>
      <c r="C35" s="10" t="s">
        <v>28</v>
      </c>
      <c r="D35" s="9">
        <f t="shared" si="4"/>
        <v>0.5</v>
      </c>
      <c r="E35" s="4">
        <f t="shared" si="1"/>
        <v>901</v>
      </c>
      <c r="F35" s="4">
        <f t="shared" si="5"/>
        <v>1.54E-13</v>
      </c>
      <c r="G35" s="1"/>
      <c r="H35" s="1"/>
      <c r="I35" s="4">
        <v>1174</v>
      </c>
      <c r="J35" s="4">
        <v>0.5</v>
      </c>
      <c r="K35" s="4">
        <v>-12.7906</v>
      </c>
      <c r="L35" s="4">
        <f t="shared" si="3"/>
        <v>1.6195710309550344E-13</v>
      </c>
      <c r="M35" s="1"/>
      <c r="N35" s="1"/>
      <c r="O35" s="10">
        <v>15.4</v>
      </c>
      <c r="P35" s="1"/>
      <c r="Q35" s="1"/>
      <c r="R35" s="1"/>
      <c r="S35" s="1"/>
      <c r="T35" s="1"/>
      <c r="U35" s="1"/>
      <c r="V35" s="1"/>
    </row>
    <row r="36" spans="1:22" ht="14.25" customHeight="1" x14ac:dyDescent="0.25">
      <c r="A36" s="10" t="s">
        <v>31</v>
      </c>
      <c r="B36" s="10" t="s">
        <v>15</v>
      </c>
      <c r="C36" s="10" t="s">
        <v>28</v>
      </c>
      <c r="D36" s="9">
        <f t="shared" si="4"/>
        <v>1</v>
      </c>
      <c r="E36" s="4">
        <f t="shared" si="1"/>
        <v>901</v>
      </c>
      <c r="F36" s="4">
        <f t="shared" si="5"/>
        <v>1.4999999999999999E-13</v>
      </c>
      <c r="G36" s="1"/>
      <c r="H36" s="1"/>
      <c r="I36" s="4">
        <v>1174</v>
      </c>
      <c r="J36" s="4">
        <v>1</v>
      </c>
      <c r="K36" s="4">
        <v>-12.8009</v>
      </c>
      <c r="L36" s="4">
        <f t="shared" si="3"/>
        <v>1.5816121770080286E-13</v>
      </c>
      <c r="M36" s="1"/>
      <c r="N36" s="1"/>
      <c r="O36" s="10">
        <v>15</v>
      </c>
      <c r="P36" s="1"/>
      <c r="Q36" s="1"/>
      <c r="R36" s="1"/>
      <c r="S36" s="1"/>
      <c r="T36" s="1"/>
      <c r="U36" s="1"/>
      <c r="V36" s="1"/>
    </row>
    <row r="37" spans="1:22" ht="14.25" customHeight="1" x14ac:dyDescent="0.25">
      <c r="A37" s="10" t="s">
        <v>31</v>
      </c>
      <c r="B37" s="10" t="s">
        <v>15</v>
      </c>
      <c r="C37" s="10" t="s">
        <v>28</v>
      </c>
      <c r="D37" s="9">
        <f t="shared" si="4"/>
        <v>1.5</v>
      </c>
      <c r="E37" s="4">
        <f t="shared" si="1"/>
        <v>901</v>
      </c>
      <c r="F37" s="4">
        <f t="shared" si="5"/>
        <v>1.6399999999999998E-13</v>
      </c>
      <c r="G37" s="1"/>
      <c r="H37" s="1"/>
      <c r="I37" s="4">
        <v>1174</v>
      </c>
      <c r="J37" s="4">
        <v>1.5</v>
      </c>
      <c r="K37" s="4">
        <v>-12.759600000000001</v>
      </c>
      <c r="L37" s="4">
        <f t="shared" si="3"/>
        <v>1.7394021397802959E-13</v>
      </c>
      <c r="M37" s="1"/>
      <c r="N37" s="1"/>
      <c r="O37" s="10">
        <v>16.399999999999999</v>
      </c>
      <c r="P37" s="1"/>
      <c r="Q37" s="1"/>
      <c r="R37" s="1"/>
      <c r="S37" s="1"/>
      <c r="T37" s="1"/>
      <c r="U37" s="1"/>
      <c r="V37" s="1"/>
    </row>
    <row r="38" spans="1:22" ht="14.25" customHeight="1" x14ac:dyDescent="0.25">
      <c r="A38" s="10" t="s">
        <v>31</v>
      </c>
      <c r="B38" s="10" t="s">
        <v>15</v>
      </c>
      <c r="C38" s="10" t="s">
        <v>28</v>
      </c>
      <c r="D38" s="9">
        <f t="shared" si="4"/>
        <v>2</v>
      </c>
      <c r="E38" s="4">
        <f t="shared" si="1"/>
        <v>901</v>
      </c>
      <c r="F38" s="4">
        <f t="shared" si="5"/>
        <v>1.7299999999999999E-13</v>
      </c>
      <c r="G38" s="1"/>
      <c r="H38" s="1"/>
      <c r="I38" s="4">
        <v>1174</v>
      </c>
      <c r="J38" s="4">
        <v>2</v>
      </c>
      <c r="K38" s="4">
        <v>-12.738899999999999</v>
      </c>
      <c r="L38" s="4">
        <f t="shared" si="3"/>
        <v>1.8243157181794285E-13</v>
      </c>
      <c r="M38" s="1"/>
      <c r="N38" s="1"/>
      <c r="O38" s="10">
        <v>17.3</v>
      </c>
      <c r="P38" s="1"/>
      <c r="Q38" s="1"/>
      <c r="R38" s="1"/>
      <c r="S38" s="1"/>
      <c r="T38" s="1"/>
      <c r="U38" s="1"/>
      <c r="V38" s="1"/>
    </row>
    <row r="39" spans="1:22" ht="14.25" customHeight="1" x14ac:dyDescent="0.25">
      <c r="A39" s="10" t="s">
        <v>31</v>
      </c>
      <c r="B39" s="10" t="s">
        <v>15</v>
      </c>
      <c r="C39" s="10" t="s">
        <v>28</v>
      </c>
      <c r="D39" s="9">
        <f t="shared" si="4"/>
        <v>0</v>
      </c>
      <c r="E39" s="4">
        <f t="shared" si="1"/>
        <v>859</v>
      </c>
      <c r="F39" s="4">
        <f t="shared" si="5"/>
        <v>5.9999999999999997E-14</v>
      </c>
      <c r="G39" s="1"/>
      <c r="H39" s="1"/>
      <c r="I39" s="4">
        <v>1132</v>
      </c>
      <c r="J39" s="4">
        <v>0</v>
      </c>
      <c r="K39" s="4">
        <v>-13.2035</v>
      </c>
      <c r="L39" s="4">
        <f t="shared" si="3"/>
        <v>6.2589286392143921E-14</v>
      </c>
      <c r="M39" s="1"/>
      <c r="N39" s="1"/>
      <c r="O39" s="10">
        <v>6</v>
      </c>
      <c r="P39" s="1"/>
      <c r="Q39" s="1"/>
      <c r="R39" s="1"/>
      <c r="S39" s="1"/>
      <c r="T39" s="1"/>
      <c r="U39" s="1"/>
      <c r="V39" s="1"/>
    </row>
    <row r="40" spans="1:22" ht="14.25" customHeight="1" x14ac:dyDescent="0.25">
      <c r="A40" s="10" t="s">
        <v>31</v>
      </c>
      <c r="B40" s="10" t="s">
        <v>15</v>
      </c>
      <c r="C40" s="10" t="s">
        <v>28</v>
      </c>
      <c r="D40" s="9">
        <f t="shared" si="4"/>
        <v>0.5</v>
      </c>
      <c r="E40" s="4">
        <f t="shared" si="1"/>
        <v>859</v>
      </c>
      <c r="F40" s="4">
        <f t="shared" si="5"/>
        <v>6.9000000000000009E-14</v>
      </c>
      <c r="G40" s="1"/>
      <c r="H40" s="1"/>
      <c r="I40" s="4">
        <v>1132</v>
      </c>
      <c r="J40" s="4">
        <v>0.5</v>
      </c>
      <c r="K40" s="4">
        <v>-13.1416</v>
      </c>
      <c r="L40" s="4">
        <f t="shared" si="3"/>
        <v>7.2177194966869667E-14</v>
      </c>
      <c r="M40" s="1"/>
      <c r="N40" s="1"/>
      <c r="O40" s="10">
        <v>6.9</v>
      </c>
      <c r="P40" s="1"/>
      <c r="Q40" s="1"/>
      <c r="R40" s="1"/>
      <c r="S40" s="1"/>
      <c r="T40" s="1"/>
      <c r="U40" s="1"/>
      <c r="V40" s="1"/>
    </row>
    <row r="41" spans="1:22" ht="14.25" customHeight="1" x14ac:dyDescent="0.25">
      <c r="A41" s="10" t="s">
        <v>31</v>
      </c>
      <c r="B41" s="10" t="s">
        <v>15</v>
      </c>
      <c r="C41" s="10" t="s">
        <v>28</v>
      </c>
      <c r="D41" s="9">
        <f t="shared" si="4"/>
        <v>1</v>
      </c>
      <c r="E41" s="4">
        <f t="shared" si="1"/>
        <v>859</v>
      </c>
      <c r="F41" s="4">
        <f t="shared" si="5"/>
        <v>6.9000000000000009E-14</v>
      </c>
      <c r="G41" s="1"/>
      <c r="H41" s="1"/>
      <c r="I41" s="4">
        <v>1132</v>
      </c>
      <c r="J41" s="4">
        <v>1</v>
      </c>
      <c r="K41" s="4">
        <v>-13.1416</v>
      </c>
      <c r="L41" s="4">
        <f t="shared" si="3"/>
        <v>7.2177194966869667E-14</v>
      </c>
      <c r="M41" s="1"/>
      <c r="N41" s="1"/>
      <c r="O41" s="10">
        <v>6.9</v>
      </c>
      <c r="P41" s="1"/>
      <c r="Q41" s="1"/>
      <c r="R41" s="1"/>
      <c r="S41" s="1"/>
      <c r="T41" s="1"/>
      <c r="U41" s="1"/>
      <c r="V41" s="1"/>
    </row>
    <row r="42" spans="1:22" ht="14.25" customHeight="1" x14ac:dyDescent="0.25">
      <c r="A42" s="10" t="s">
        <v>31</v>
      </c>
      <c r="B42" s="10" t="s">
        <v>15</v>
      </c>
      <c r="C42" s="10" t="s">
        <v>28</v>
      </c>
      <c r="D42" s="9">
        <f t="shared" si="4"/>
        <v>1.5</v>
      </c>
      <c r="E42" s="4">
        <f t="shared" si="1"/>
        <v>859</v>
      </c>
      <c r="F42" s="4">
        <f t="shared" si="5"/>
        <v>7.4999999999999996E-14</v>
      </c>
      <c r="G42" s="1"/>
      <c r="H42" s="1"/>
      <c r="I42" s="4">
        <v>1132</v>
      </c>
      <c r="J42" s="4">
        <v>1.5</v>
      </c>
      <c r="K42" s="4">
        <v>-13.100300000000001</v>
      </c>
      <c r="L42" s="4">
        <f t="shared" si="3"/>
        <v>7.9377972169011313E-14</v>
      </c>
      <c r="M42" s="1"/>
      <c r="N42" s="1"/>
      <c r="O42" s="10">
        <v>7.5</v>
      </c>
      <c r="P42" s="1"/>
      <c r="Q42" s="1"/>
      <c r="R42" s="1"/>
      <c r="S42" s="1"/>
      <c r="T42" s="1"/>
      <c r="U42" s="1"/>
      <c r="V42" s="1"/>
    </row>
    <row r="43" spans="1:22" ht="14.25" customHeight="1" x14ac:dyDescent="0.25">
      <c r="A43" s="10" t="s">
        <v>31</v>
      </c>
      <c r="B43" s="10" t="s">
        <v>15</v>
      </c>
      <c r="C43" s="10" t="s">
        <v>28</v>
      </c>
      <c r="D43" s="9">
        <f t="shared" si="4"/>
        <v>2</v>
      </c>
      <c r="E43" s="4">
        <f t="shared" si="1"/>
        <v>859</v>
      </c>
      <c r="F43" s="4">
        <f t="shared" si="5"/>
        <v>7.5999999999999992E-14</v>
      </c>
      <c r="G43" s="1"/>
      <c r="H43" s="1"/>
      <c r="I43" s="4">
        <v>1132</v>
      </c>
      <c r="J43" s="4">
        <v>2</v>
      </c>
      <c r="K43" s="4">
        <v>-13.100300000000001</v>
      </c>
      <c r="L43" s="4">
        <f t="shared" si="3"/>
        <v>7.9377972169011313E-14</v>
      </c>
      <c r="M43" s="1"/>
      <c r="N43" s="1"/>
      <c r="O43" s="10">
        <v>7.6</v>
      </c>
      <c r="P43" s="1"/>
      <c r="Q43" s="1"/>
      <c r="R43" s="1"/>
      <c r="S43" s="1"/>
      <c r="T43" s="1"/>
      <c r="U43" s="1"/>
      <c r="V43" s="1"/>
    </row>
    <row r="44" spans="1:22" ht="14.25" customHeight="1" x14ac:dyDescent="0.25">
      <c r="A44" s="10" t="s">
        <v>31</v>
      </c>
      <c r="B44" s="10" t="s">
        <v>15</v>
      </c>
      <c r="C44" s="10" t="s">
        <v>28</v>
      </c>
      <c r="D44" s="9">
        <f t="shared" si="4"/>
        <v>0</v>
      </c>
      <c r="E44" s="4">
        <f t="shared" si="1"/>
        <v>827</v>
      </c>
      <c r="F44" s="4">
        <f t="shared" si="5"/>
        <v>3.2000000000000002E-14</v>
      </c>
      <c r="G44" s="1"/>
      <c r="H44" s="1"/>
      <c r="I44" s="1">
        <v>1100</v>
      </c>
      <c r="J44" s="4">
        <v>0</v>
      </c>
      <c r="K44" s="4">
        <v>-13.4823</v>
      </c>
      <c r="L44" s="4">
        <f t="shared" si="3"/>
        <v>3.2938210447649272E-14</v>
      </c>
      <c r="M44" s="1"/>
      <c r="N44" s="1"/>
      <c r="O44" s="10">
        <v>3.2</v>
      </c>
      <c r="P44" s="1"/>
      <c r="Q44" s="1"/>
      <c r="R44" s="1"/>
      <c r="S44" s="1"/>
      <c r="T44" s="1"/>
      <c r="U44" s="1"/>
      <c r="V44" s="1"/>
    </row>
    <row r="45" spans="1:22" ht="14.25" customHeight="1" x14ac:dyDescent="0.25">
      <c r="A45" s="10" t="s">
        <v>31</v>
      </c>
      <c r="B45" s="10" t="s">
        <v>15</v>
      </c>
      <c r="C45" s="10" t="s">
        <v>28</v>
      </c>
      <c r="D45" s="9">
        <f t="shared" si="4"/>
        <v>0.5</v>
      </c>
      <c r="E45" s="4">
        <f t="shared" si="1"/>
        <v>827</v>
      </c>
      <c r="F45" s="4">
        <f t="shared" si="5"/>
        <v>3.5000000000000002E-14</v>
      </c>
      <c r="G45" s="1"/>
      <c r="H45" s="1"/>
      <c r="I45" s="4">
        <v>1100</v>
      </c>
      <c r="J45" s="4">
        <v>0.5</v>
      </c>
      <c r="K45" s="4">
        <v>-13.441000000000001</v>
      </c>
      <c r="L45" s="4">
        <f t="shared" si="3"/>
        <v>3.6224299841669726E-14</v>
      </c>
      <c r="M45" s="1"/>
      <c r="N45" s="1"/>
      <c r="O45" s="10">
        <v>3.5</v>
      </c>
      <c r="P45" s="1"/>
      <c r="Q45" s="1"/>
      <c r="R45" s="1"/>
      <c r="S45" s="1"/>
      <c r="T45" s="1"/>
      <c r="U45" s="1"/>
      <c r="V45" s="1"/>
    </row>
    <row r="46" spans="1:22" ht="14.25" customHeight="1" x14ac:dyDescent="0.25">
      <c r="A46" s="10" t="s">
        <v>31</v>
      </c>
      <c r="B46" s="10" t="s">
        <v>15</v>
      </c>
      <c r="C46" s="10" t="s">
        <v>28</v>
      </c>
      <c r="D46" s="9">
        <f t="shared" si="4"/>
        <v>1</v>
      </c>
      <c r="E46" s="4">
        <f t="shared" si="1"/>
        <v>827</v>
      </c>
      <c r="F46" s="4">
        <f t="shared" si="5"/>
        <v>3.7999999999999996E-14</v>
      </c>
      <c r="G46" s="1"/>
      <c r="H46" s="1"/>
      <c r="I46" s="4">
        <v>1100</v>
      </c>
      <c r="J46" s="4">
        <v>1</v>
      </c>
      <c r="K46" s="4">
        <v>-13.399699999999999</v>
      </c>
      <c r="L46" s="4">
        <f t="shared" si="3"/>
        <v>3.9838226824883463E-14</v>
      </c>
      <c r="M46" s="1"/>
      <c r="N46" s="1"/>
      <c r="O46" s="10">
        <v>3.8</v>
      </c>
      <c r="P46" s="1"/>
      <c r="Q46" s="1"/>
      <c r="R46" s="1"/>
      <c r="S46" s="1"/>
      <c r="T46" s="1"/>
      <c r="U46" s="1"/>
      <c r="V46" s="1"/>
    </row>
    <row r="47" spans="1:22" ht="14.25" customHeight="1" x14ac:dyDescent="0.25">
      <c r="A47" s="10" t="s">
        <v>31</v>
      </c>
      <c r="B47" s="10" t="s">
        <v>15</v>
      </c>
      <c r="C47" s="10" t="s">
        <v>28</v>
      </c>
      <c r="D47" s="9">
        <f t="shared" si="4"/>
        <v>1.5</v>
      </c>
      <c r="E47" s="4">
        <f t="shared" si="1"/>
        <v>827</v>
      </c>
      <c r="F47" s="4">
        <f t="shared" si="5"/>
        <v>4.3E-14</v>
      </c>
      <c r="G47" s="1"/>
      <c r="H47" s="1"/>
      <c r="I47" s="4">
        <v>1100</v>
      </c>
      <c r="J47" s="4">
        <v>1.5</v>
      </c>
      <c r="K47" s="4">
        <v>-13.348100000000001</v>
      </c>
      <c r="L47" s="4">
        <f t="shared" si="3"/>
        <v>4.4864207438368785E-14</v>
      </c>
      <c r="M47" s="1"/>
      <c r="N47" s="1"/>
      <c r="O47" s="10">
        <v>4.3</v>
      </c>
      <c r="P47" s="1"/>
      <c r="Q47" s="1"/>
      <c r="R47" s="1"/>
      <c r="S47" s="1"/>
      <c r="T47" s="1"/>
      <c r="U47" s="1"/>
      <c r="V47" s="1"/>
    </row>
    <row r="48" spans="1:22" ht="14.25" customHeight="1" x14ac:dyDescent="0.25">
      <c r="A48" s="10" t="s">
        <v>31</v>
      </c>
      <c r="B48" s="10" t="s">
        <v>15</v>
      </c>
      <c r="C48" s="10" t="s">
        <v>28</v>
      </c>
      <c r="D48" s="9">
        <f t="shared" si="4"/>
        <v>2</v>
      </c>
      <c r="E48" s="4">
        <f t="shared" si="1"/>
        <v>827</v>
      </c>
      <c r="F48" s="4">
        <f t="shared" si="5"/>
        <v>4.0999999999999996E-14</v>
      </c>
      <c r="G48" s="1"/>
      <c r="H48" s="1"/>
      <c r="I48" s="4">
        <v>1100</v>
      </c>
      <c r="J48" s="4">
        <v>2</v>
      </c>
      <c r="K48" s="4">
        <v>-13.3687</v>
      </c>
      <c r="L48" s="4">
        <f t="shared" si="3"/>
        <v>4.2785833816373672E-14</v>
      </c>
      <c r="M48" s="1"/>
      <c r="N48" s="1"/>
      <c r="O48" s="10">
        <v>4.0999999999999996</v>
      </c>
      <c r="P48" s="1"/>
      <c r="Q48" s="1"/>
      <c r="R48" s="1"/>
      <c r="S48" s="1"/>
      <c r="T48" s="1"/>
      <c r="U48" s="1"/>
      <c r="V48" s="1"/>
    </row>
    <row r="49" spans="1:22" ht="14.25" customHeight="1" x14ac:dyDescent="0.25">
      <c r="A49" s="10" t="s">
        <v>31</v>
      </c>
      <c r="B49" s="10" t="s">
        <v>15</v>
      </c>
      <c r="C49" s="10" t="s">
        <v>28</v>
      </c>
      <c r="D49" s="9">
        <f t="shared" si="4"/>
        <v>0</v>
      </c>
      <c r="E49" s="4">
        <f t="shared" si="1"/>
        <v>803</v>
      </c>
      <c r="F49" s="4">
        <f t="shared" si="5"/>
        <v>2.2999999999999997E-14</v>
      </c>
      <c r="G49" s="1"/>
      <c r="H49" s="1"/>
      <c r="I49" s="1">
        <v>1076</v>
      </c>
      <c r="J49" s="4">
        <v>0</v>
      </c>
      <c r="K49" s="4">
        <v>-13.6165</v>
      </c>
      <c r="L49" s="4">
        <f t="shared" si="3"/>
        <v>2.4182433379303989E-14</v>
      </c>
      <c r="M49" s="1"/>
      <c r="N49" s="1"/>
      <c r="O49" s="10">
        <v>2.2999999999999998</v>
      </c>
      <c r="P49" s="1"/>
      <c r="Q49" s="1"/>
      <c r="R49" s="1"/>
      <c r="S49" s="1"/>
      <c r="T49" s="1"/>
      <c r="U49" s="1"/>
      <c r="V49" s="1"/>
    </row>
    <row r="50" spans="1:22" ht="14.25" customHeight="1" x14ac:dyDescent="0.25">
      <c r="A50" s="10" t="s">
        <v>31</v>
      </c>
      <c r="B50" s="10" t="s">
        <v>15</v>
      </c>
      <c r="C50" s="10" t="s">
        <v>28</v>
      </c>
      <c r="D50" s="9">
        <f t="shared" si="4"/>
        <v>0.5</v>
      </c>
      <c r="E50" s="4">
        <f t="shared" si="1"/>
        <v>803</v>
      </c>
      <c r="F50" s="4">
        <f t="shared" si="5"/>
        <v>2.6E-14</v>
      </c>
      <c r="G50" s="1"/>
      <c r="H50" s="1"/>
      <c r="I50" s="4">
        <v>1076</v>
      </c>
      <c r="J50" s="4">
        <v>0.5</v>
      </c>
      <c r="K50" s="4">
        <v>-13.575200000000001</v>
      </c>
      <c r="L50" s="4">
        <f t="shared" si="3"/>
        <v>2.6595000327215041E-14</v>
      </c>
      <c r="M50" s="1"/>
      <c r="N50" s="1"/>
      <c r="O50" s="10">
        <v>2.6</v>
      </c>
      <c r="P50" s="1"/>
      <c r="Q50" s="1"/>
      <c r="R50" s="1"/>
      <c r="S50" s="1"/>
      <c r="T50" s="1"/>
      <c r="U50" s="1"/>
      <c r="V50" s="1"/>
    </row>
    <row r="51" spans="1:22" ht="14.25" customHeight="1" x14ac:dyDescent="0.25">
      <c r="A51" s="10" t="s">
        <v>31</v>
      </c>
      <c r="B51" s="10" t="s">
        <v>15</v>
      </c>
      <c r="C51" s="10" t="s">
        <v>28</v>
      </c>
      <c r="D51" s="9">
        <f t="shared" si="4"/>
        <v>1</v>
      </c>
      <c r="E51" s="4">
        <f t="shared" si="1"/>
        <v>803</v>
      </c>
      <c r="F51" s="4">
        <f t="shared" si="5"/>
        <v>2.7000000000000002E-14</v>
      </c>
      <c r="G51" s="1"/>
      <c r="H51" s="1"/>
      <c r="I51" s="4">
        <v>1076</v>
      </c>
      <c r="J51" s="4">
        <v>1</v>
      </c>
      <c r="K51" s="4">
        <v>-13.554600000000001</v>
      </c>
      <c r="L51" s="4">
        <f t="shared" si="3"/>
        <v>2.7886884631591558E-14</v>
      </c>
      <c r="M51" s="1"/>
      <c r="N51" s="1"/>
      <c r="O51" s="10">
        <v>2.7</v>
      </c>
      <c r="P51" s="1"/>
      <c r="Q51" s="1"/>
      <c r="R51" s="1"/>
      <c r="S51" s="1"/>
      <c r="T51" s="1"/>
      <c r="U51" s="1"/>
      <c r="V51" s="1"/>
    </row>
    <row r="52" spans="1:22" ht="14.25" customHeight="1" x14ac:dyDescent="0.25">
      <c r="A52" s="10" t="s">
        <v>31</v>
      </c>
      <c r="B52" s="10" t="s">
        <v>15</v>
      </c>
      <c r="C52" s="10" t="s">
        <v>28</v>
      </c>
      <c r="D52" s="9">
        <f t="shared" si="4"/>
        <v>1.5</v>
      </c>
      <c r="E52" s="4">
        <f t="shared" si="1"/>
        <v>803</v>
      </c>
      <c r="F52" s="4">
        <f t="shared" si="5"/>
        <v>2.7000000000000002E-14</v>
      </c>
      <c r="G52" s="1"/>
      <c r="H52" s="1"/>
      <c r="I52" s="4">
        <v>1076</v>
      </c>
      <c r="J52" s="4">
        <v>1.5</v>
      </c>
      <c r="K52" s="4">
        <v>-13.554600000000001</v>
      </c>
      <c r="L52" s="4">
        <f t="shared" si="3"/>
        <v>2.7886884631591558E-14</v>
      </c>
      <c r="M52" s="1"/>
      <c r="N52" s="1"/>
      <c r="O52" s="10">
        <v>2.7</v>
      </c>
      <c r="P52" s="1"/>
      <c r="Q52" s="1"/>
      <c r="R52" s="1"/>
      <c r="S52" s="1"/>
      <c r="T52" s="1"/>
      <c r="U52" s="1"/>
      <c r="V52" s="1"/>
    </row>
    <row r="53" spans="1:22" ht="14.25" customHeight="1" x14ac:dyDescent="0.25">
      <c r="A53" s="10" t="s">
        <v>31</v>
      </c>
      <c r="B53" s="10" t="s">
        <v>15</v>
      </c>
      <c r="C53" s="10" t="s">
        <v>28</v>
      </c>
      <c r="D53" s="9">
        <f t="shared" si="4"/>
        <v>2</v>
      </c>
      <c r="E53" s="4">
        <f t="shared" si="1"/>
        <v>803</v>
      </c>
      <c r="F53" s="4">
        <f t="shared" si="5"/>
        <v>2.7999999999999997E-14</v>
      </c>
      <c r="G53" s="1"/>
      <c r="H53" s="1"/>
      <c r="I53" s="4">
        <v>1076</v>
      </c>
      <c r="J53" s="4">
        <v>2</v>
      </c>
      <c r="K53" s="4">
        <v>-13.5442</v>
      </c>
      <c r="L53" s="4">
        <f t="shared" si="3"/>
        <v>2.8562748772641001E-14</v>
      </c>
      <c r="M53" s="1"/>
      <c r="N53" s="1"/>
      <c r="O53" s="10">
        <v>2.8</v>
      </c>
      <c r="P53" s="1"/>
      <c r="Q53" s="1"/>
      <c r="R53" s="1"/>
      <c r="S53" s="1"/>
      <c r="T53" s="1"/>
      <c r="U53" s="1"/>
      <c r="V53" s="1"/>
    </row>
    <row r="54" spans="1:22" ht="14.25" customHeight="1" x14ac:dyDescent="0.25">
      <c r="A54" s="10" t="s">
        <v>31</v>
      </c>
      <c r="B54" s="10" t="s">
        <v>15</v>
      </c>
      <c r="C54" s="10" t="s">
        <v>28</v>
      </c>
      <c r="D54" s="9">
        <f t="shared" si="4"/>
        <v>0</v>
      </c>
      <c r="E54" s="4">
        <f t="shared" si="1"/>
        <v>750</v>
      </c>
      <c r="F54" s="4">
        <f t="shared" si="5"/>
        <v>8.3999999999999992E-15</v>
      </c>
      <c r="G54" s="1"/>
      <c r="H54" s="1"/>
      <c r="I54" s="1">
        <v>1023</v>
      </c>
      <c r="J54" s="4">
        <v>0</v>
      </c>
      <c r="K54" s="4">
        <v>-14.060499999999999</v>
      </c>
      <c r="L54" s="4">
        <f t="shared" si="3"/>
        <v>8.6996143306526848E-15</v>
      </c>
      <c r="M54" s="1"/>
      <c r="N54" s="1"/>
      <c r="O54" s="10">
        <v>0.84</v>
      </c>
      <c r="P54" s="1"/>
      <c r="Q54" s="1"/>
      <c r="R54" s="1"/>
      <c r="S54" s="1"/>
      <c r="T54" s="1"/>
      <c r="U54" s="1"/>
      <c r="V54" s="1"/>
    </row>
    <row r="55" spans="1:22" ht="14.25" customHeight="1" x14ac:dyDescent="0.25">
      <c r="A55" s="10" t="s">
        <v>31</v>
      </c>
      <c r="B55" s="10" t="s">
        <v>15</v>
      </c>
      <c r="C55" s="10" t="s">
        <v>28</v>
      </c>
      <c r="D55" s="9">
        <f t="shared" si="4"/>
        <v>0.5</v>
      </c>
      <c r="E55" s="4">
        <f t="shared" si="1"/>
        <v>750</v>
      </c>
      <c r="F55" s="4">
        <f t="shared" si="5"/>
        <v>9.1999999999999996E-15</v>
      </c>
      <c r="G55" s="1"/>
      <c r="H55" s="1"/>
      <c r="I55" s="4">
        <v>1023</v>
      </c>
      <c r="J55" s="4">
        <v>0.5</v>
      </c>
      <c r="K55" s="4">
        <v>-14.029500000000001</v>
      </c>
      <c r="L55" s="4">
        <f t="shared" si="3"/>
        <v>9.3432936825731173E-15</v>
      </c>
      <c r="M55" s="1"/>
      <c r="N55" s="1"/>
      <c r="O55" s="10">
        <v>0.92</v>
      </c>
      <c r="P55" s="1"/>
      <c r="Q55" s="1"/>
      <c r="R55" s="1"/>
      <c r="S55" s="1"/>
      <c r="T55" s="1"/>
      <c r="U55" s="1"/>
      <c r="V55" s="1"/>
    </row>
    <row r="56" spans="1:22" ht="14.25" customHeight="1" x14ac:dyDescent="0.25">
      <c r="A56" s="10" t="s">
        <v>31</v>
      </c>
      <c r="B56" s="10" t="s">
        <v>15</v>
      </c>
      <c r="C56" s="10" t="s">
        <v>28</v>
      </c>
      <c r="D56" s="9">
        <f t="shared" si="4"/>
        <v>1</v>
      </c>
      <c r="E56" s="4">
        <f t="shared" si="1"/>
        <v>750</v>
      </c>
      <c r="F56" s="4">
        <f t="shared" si="5"/>
        <v>1.0500000000000001E-14</v>
      </c>
      <c r="G56" s="1"/>
      <c r="H56" s="1"/>
      <c r="I56" s="4">
        <v>1023</v>
      </c>
      <c r="J56" s="4">
        <v>1</v>
      </c>
      <c r="K56" s="4">
        <v>-13.967599999999999</v>
      </c>
      <c r="L56" s="4">
        <f t="shared" si="3"/>
        <v>1.0774571314563668E-14</v>
      </c>
      <c r="M56" s="1"/>
      <c r="N56" s="1"/>
      <c r="O56" s="10">
        <v>1.05</v>
      </c>
      <c r="P56" s="1"/>
      <c r="Q56" s="1"/>
      <c r="R56" s="1"/>
      <c r="S56" s="1"/>
      <c r="T56" s="1"/>
      <c r="U56" s="1"/>
      <c r="V56" s="1"/>
    </row>
    <row r="57" spans="1:22" ht="14.25" customHeight="1" x14ac:dyDescent="0.25">
      <c r="A57" s="10" t="s">
        <v>31</v>
      </c>
      <c r="B57" s="10" t="s">
        <v>15</v>
      </c>
      <c r="C57" s="10" t="s">
        <v>28</v>
      </c>
      <c r="D57" s="9">
        <f t="shared" si="4"/>
        <v>1.5</v>
      </c>
      <c r="E57" s="4">
        <f t="shared" si="1"/>
        <v>750</v>
      </c>
      <c r="F57" s="4">
        <f t="shared" si="5"/>
        <v>1.1100000000000001E-14</v>
      </c>
      <c r="G57" s="1"/>
      <c r="H57" s="1"/>
      <c r="I57" s="4">
        <v>1023</v>
      </c>
      <c r="J57" s="4">
        <v>1.5</v>
      </c>
      <c r="K57" s="4">
        <v>-13.946899999999999</v>
      </c>
      <c r="L57" s="4">
        <f t="shared" si="3"/>
        <v>1.1300560897485304E-14</v>
      </c>
      <c r="M57" s="1"/>
      <c r="N57" s="1"/>
      <c r="O57" s="10">
        <v>1.1100000000000001</v>
      </c>
      <c r="P57" s="1"/>
      <c r="Q57" s="1"/>
      <c r="R57" s="1"/>
      <c r="S57" s="1"/>
      <c r="T57" s="1"/>
      <c r="U57" s="1"/>
      <c r="V57" s="1"/>
    </row>
    <row r="58" spans="1:22" ht="14.25" customHeight="1" x14ac:dyDescent="0.25">
      <c r="A58" s="10" t="s">
        <v>31</v>
      </c>
      <c r="B58" s="10" t="s">
        <v>15</v>
      </c>
      <c r="C58" s="10" t="s">
        <v>28</v>
      </c>
      <c r="D58" s="9">
        <f t="shared" si="4"/>
        <v>2</v>
      </c>
      <c r="E58" s="4">
        <f t="shared" si="1"/>
        <v>750</v>
      </c>
      <c r="F58" s="4">
        <f t="shared" si="5"/>
        <v>1.1399999999999999E-14</v>
      </c>
      <c r="G58" s="1"/>
      <c r="H58" s="1"/>
      <c r="I58" s="4">
        <v>1023</v>
      </c>
      <c r="J58" s="4">
        <v>2</v>
      </c>
      <c r="K58" s="4">
        <v>-13.9366</v>
      </c>
      <c r="L58" s="4">
        <f t="shared" si="3"/>
        <v>1.1571775514357031E-14</v>
      </c>
      <c r="M58" s="1"/>
      <c r="N58" s="1"/>
      <c r="O58" s="10">
        <v>1.1399999999999999</v>
      </c>
      <c r="P58" s="1"/>
      <c r="Q58" s="1"/>
      <c r="R58" s="1"/>
      <c r="S58" s="1"/>
      <c r="T58" s="1"/>
      <c r="U58" s="1"/>
      <c r="V58" s="1"/>
    </row>
    <row r="59" spans="1:22" ht="14.25" customHeight="1" x14ac:dyDescent="0.25">
      <c r="A59" s="10" t="s">
        <v>31</v>
      </c>
      <c r="B59" s="10" t="s">
        <v>15</v>
      </c>
      <c r="C59" s="10" t="s">
        <v>28</v>
      </c>
      <c r="D59" s="9">
        <f t="shared" si="4"/>
        <v>0</v>
      </c>
      <c r="E59" s="4">
        <f t="shared" si="1"/>
        <v>729</v>
      </c>
      <c r="F59" s="4">
        <f t="shared" si="5"/>
        <v>4.6999999999999999E-15</v>
      </c>
      <c r="G59" s="1"/>
      <c r="H59" s="1"/>
      <c r="I59" s="1">
        <v>1002</v>
      </c>
      <c r="J59" s="4">
        <v>0</v>
      </c>
      <c r="K59" s="4">
        <v>-14.3186</v>
      </c>
      <c r="L59" s="4">
        <f t="shared" si="3"/>
        <v>4.8017550301397951E-15</v>
      </c>
      <c r="M59" s="1"/>
      <c r="N59" s="1"/>
      <c r="O59" s="10">
        <v>0.47</v>
      </c>
      <c r="P59" s="1"/>
      <c r="Q59" s="1"/>
      <c r="R59" s="1"/>
      <c r="S59" s="1"/>
      <c r="T59" s="1"/>
      <c r="U59" s="1"/>
      <c r="V59" s="1"/>
    </row>
    <row r="60" spans="1:22" ht="14.25" customHeight="1" x14ac:dyDescent="0.25">
      <c r="A60" s="10" t="s">
        <v>31</v>
      </c>
      <c r="B60" s="10" t="s">
        <v>15</v>
      </c>
      <c r="C60" s="10" t="s">
        <v>28</v>
      </c>
      <c r="D60" s="9">
        <f t="shared" si="4"/>
        <v>0.5</v>
      </c>
      <c r="E60" s="4">
        <f t="shared" si="1"/>
        <v>729</v>
      </c>
      <c r="F60" s="4">
        <f t="shared" si="5"/>
        <v>5.5000000000000002E-15</v>
      </c>
      <c r="G60" s="1"/>
      <c r="H60" s="1"/>
      <c r="I60" s="4">
        <v>1002</v>
      </c>
      <c r="J60" s="4">
        <v>0.5</v>
      </c>
      <c r="K60" s="4">
        <v>-14.256600000000001</v>
      </c>
      <c r="L60" s="4">
        <f t="shared" si="3"/>
        <v>5.5385999827735297E-15</v>
      </c>
      <c r="M60" s="1"/>
      <c r="N60" s="1"/>
      <c r="O60" s="10">
        <v>0.55000000000000004</v>
      </c>
      <c r="P60" s="1"/>
      <c r="Q60" s="1"/>
      <c r="R60" s="1"/>
      <c r="S60" s="1"/>
      <c r="T60" s="1"/>
      <c r="U60" s="1"/>
      <c r="V60" s="1"/>
    </row>
    <row r="61" spans="1:22" ht="14.25" customHeight="1" x14ac:dyDescent="0.25">
      <c r="A61" s="10" t="s">
        <v>31</v>
      </c>
      <c r="B61" s="10" t="s">
        <v>15</v>
      </c>
      <c r="C61" s="10" t="s">
        <v>28</v>
      </c>
      <c r="D61" s="9">
        <f t="shared" si="4"/>
        <v>1</v>
      </c>
      <c r="E61" s="4">
        <f t="shared" si="1"/>
        <v>729</v>
      </c>
      <c r="F61" s="4">
        <f t="shared" si="5"/>
        <v>5.7999999999999996E-15</v>
      </c>
      <c r="G61" s="1"/>
      <c r="H61" s="1"/>
      <c r="I61" s="4">
        <v>1002</v>
      </c>
      <c r="J61" s="4">
        <v>1</v>
      </c>
      <c r="K61" s="4">
        <v>-14.2257</v>
      </c>
      <c r="L61" s="4">
        <f t="shared" si="3"/>
        <v>5.9470282291726035E-15</v>
      </c>
      <c r="M61" s="1"/>
      <c r="N61" s="1"/>
      <c r="O61" s="10">
        <v>0.57999999999999996</v>
      </c>
      <c r="P61" s="1"/>
      <c r="Q61" s="1"/>
      <c r="R61" s="1"/>
      <c r="S61" s="1"/>
      <c r="T61" s="1"/>
      <c r="U61" s="1"/>
      <c r="V61" s="1"/>
    </row>
    <row r="62" spans="1:22" ht="14.25" customHeight="1" x14ac:dyDescent="0.25">
      <c r="A62" s="10" t="s">
        <v>31</v>
      </c>
      <c r="B62" s="10" t="s">
        <v>15</v>
      </c>
      <c r="C62" s="10" t="s">
        <v>28</v>
      </c>
      <c r="D62" s="9">
        <f t="shared" si="4"/>
        <v>1.5</v>
      </c>
      <c r="E62" s="4">
        <f t="shared" si="1"/>
        <v>729</v>
      </c>
      <c r="F62" s="4">
        <f t="shared" si="5"/>
        <v>6.8999999999999993E-15</v>
      </c>
      <c r="G62" s="1"/>
      <c r="H62" s="1"/>
      <c r="I62" s="4">
        <v>1002</v>
      </c>
      <c r="J62" s="4">
        <v>1.5</v>
      </c>
      <c r="K62" s="4">
        <v>-14.1534</v>
      </c>
      <c r="L62" s="4">
        <f t="shared" si="3"/>
        <v>7.0242506446450161E-15</v>
      </c>
      <c r="M62" s="1"/>
      <c r="N62" s="1"/>
      <c r="O62" s="10">
        <v>0.69</v>
      </c>
      <c r="P62" s="1"/>
      <c r="Q62" s="1"/>
      <c r="R62" s="1"/>
      <c r="S62" s="1"/>
      <c r="T62" s="1"/>
      <c r="U62" s="1"/>
      <c r="V62" s="1"/>
    </row>
    <row r="63" spans="1:22" ht="14.25" customHeight="1" x14ac:dyDescent="0.25">
      <c r="A63" s="10" t="s">
        <v>31</v>
      </c>
      <c r="B63" s="10" t="s">
        <v>15</v>
      </c>
      <c r="C63" s="10" t="s">
        <v>28</v>
      </c>
      <c r="D63" s="9">
        <f t="shared" si="4"/>
        <v>2</v>
      </c>
      <c r="E63" s="4">
        <f t="shared" si="1"/>
        <v>729</v>
      </c>
      <c r="F63" s="4">
        <f t="shared" si="5"/>
        <v>6.8000000000000008E-15</v>
      </c>
      <c r="G63" s="1"/>
      <c r="H63" s="1"/>
      <c r="I63" s="4">
        <v>1002</v>
      </c>
      <c r="J63" s="4">
        <v>2</v>
      </c>
      <c r="K63" s="4">
        <v>-14.1534</v>
      </c>
      <c r="L63" s="4">
        <f t="shared" si="3"/>
        <v>7.0242506446450161E-15</v>
      </c>
      <c r="M63" s="1"/>
      <c r="N63" s="1"/>
      <c r="O63" s="10">
        <v>0.68</v>
      </c>
      <c r="P63" s="1"/>
      <c r="Q63" s="1"/>
      <c r="R63" s="1"/>
      <c r="S63" s="1"/>
      <c r="T63" s="1"/>
      <c r="U63" s="1"/>
      <c r="V63" s="1"/>
    </row>
    <row r="64" spans="1:22" ht="14.25" customHeight="1" x14ac:dyDescent="0.25">
      <c r="A64" s="10" t="s">
        <v>31</v>
      </c>
      <c r="B64" s="10" t="s">
        <v>15</v>
      </c>
      <c r="C64" s="10" t="s">
        <v>28</v>
      </c>
      <c r="D64" s="9">
        <f t="shared" si="4"/>
        <v>0</v>
      </c>
      <c r="E64" s="4">
        <f t="shared" si="1"/>
        <v>701</v>
      </c>
      <c r="F64" s="4">
        <f t="shared" si="5"/>
        <v>2.9999999999999998E-15</v>
      </c>
      <c r="G64" s="1"/>
      <c r="H64" s="1"/>
      <c r="I64" s="1">
        <v>974</v>
      </c>
      <c r="J64" s="4">
        <v>0</v>
      </c>
      <c r="K64" s="4">
        <v>-14.514699999999999</v>
      </c>
      <c r="L64" s="4">
        <f t="shared" si="3"/>
        <v>3.0570321069876545E-15</v>
      </c>
      <c r="M64" s="1"/>
      <c r="N64" s="1"/>
      <c r="O64" s="10">
        <v>0.3</v>
      </c>
      <c r="P64" s="1"/>
      <c r="Q64" s="1"/>
      <c r="R64" s="1"/>
      <c r="S64" s="1"/>
      <c r="T64" s="1"/>
      <c r="U64" s="1"/>
      <c r="V64" s="1"/>
    </row>
    <row r="65" spans="1:22" ht="14.25" customHeight="1" x14ac:dyDescent="0.25">
      <c r="A65" s="10" t="s">
        <v>31</v>
      </c>
      <c r="B65" s="10" t="s">
        <v>15</v>
      </c>
      <c r="C65" s="10" t="s">
        <v>28</v>
      </c>
      <c r="D65" s="9">
        <f t="shared" si="4"/>
        <v>0.5</v>
      </c>
      <c r="E65" s="4">
        <f t="shared" si="1"/>
        <v>701</v>
      </c>
      <c r="F65" s="4">
        <f t="shared" si="5"/>
        <v>3.0999999999999999E-15</v>
      </c>
      <c r="G65" s="1"/>
      <c r="H65" s="1"/>
      <c r="I65" s="4">
        <v>974</v>
      </c>
      <c r="J65" s="4">
        <v>0.5</v>
      </c>
      <c r="K65" s="4">
        <v>-14.5044</v>
      </c>
      <c r="L65" s="4">
        <f t="shared" si="3"/>
        <v>3.1304011900962169E-15</v>
      </c>
      <c r="M65" s="1"/>
      <c r="N65" s="1"/>
      <c r="O65" s="10">
        <v>0.31</v>
      </c>
      <c r="P65" s="1"/>
      <c r="Q65" s="1"/>
      <c r="R65" s="1"/>
      <c r="S65" s="1"/>
      <c r="T65" s="1"/>
      <c r="U65" s="1"/>
      <c r="V65" s="1"/>
    </row>
    <row r="66" spans="1:22" ht="14.25" customHeight="1" x14ac:dyDescent="0.25">
      <c r="A66" s="10" t="s">
        <v>31</v>
      </c>
      <c r="B66" s="10" t="s">
        <v>15</v>
      </c>
      <c r="C66" s="10" t="s">
        <v>28</v>
      </c>
      <c r="D66" s="9">
        <f t="shared" si="4"/>
        <v>1</v>
      </c>
      <c r="E66" s="4">
        <f t="shared" si="1"/>
        <v>701</v>
      </c>
      <c r="F66" s="4">
        <f t="shared" si="5"/>
        <v>3.4000000000000004E-15</v>
      </c>
      <c r="G66" s="1"/>
      <c r="H66" s="1"/>
      <c r="I66" s="4">
        <v>974</v>
      </c>
      <c r="J66" s="4">
        <v>1</v>
      </c>
      <c r="K66" s="4">
        <v>-14.463100000000001</v>
      </c>
      <c r="L66" s="4">
        <f t="shared" si="3"/>
        <v>3.4427065038944147E-15</v>
      </c>
      <c r="M66" s="1"/>
      <c r="N66" s="1"/>
      <c r="O66" s="10">
        <v>0.34</v>
      </c>
      <c r="P66" s="1"/>
      <c r="Q66" s="1"/>
      <c r="R66" s="1"/>
      <c r="S66" s="1"/>
      <c r="T66" s="1"/>
      <c r="U66" s="1"/>
      <c r="V66" s="1"/>
    </row>
    <row r="67" spans="1:22" ht="14.25" customHeight="1" x14ac:dyDescent="0.25">
      <c r="A67" s="10" t="s">
        <v>31</v>
      </c>
      <c r="B67" s="10" t="s">
        <v>15</v>
      </c>
      <c r="C67" s="10" t="s">
        <v>28</v>
      </c>
      <c r="D67" s="9">
        <f t="shared" si="4"/>
        <v>1.5</v>
      </c>
      <c r="E67" s="4">
        <f t="shared" ref="E67:E68" si="6">I67 - 273</f>
        <v>701</v>
      </c>
      <c r="F67" s="4">
        <f t="shared" si="5"/>
        <v>3.6000000000000001E-15</v>
      </c>
      <c r="G67" s="1"/>
      <c r="H67" s="1"/>
      <c r="I67" s="4">
        <v>974</v>
      </c>
      <c r="J67" s="4">
        <v>1.5</v>
      </c>
      <c r="K67" s="4">
        <v>-14.4322</v>
      </c>
      <c r="L67" s="4">
        <f t="shared" ref="L67:L85" si="7">10^K67</f>
        <v>3.6965790681932655E-15</v>
      </c>
      <c r="M67" s="1"/>
      <c r="N67" s="1"/>
      <c r="O67" s="10">
        <v>0.36</v>
      </c>
      <c r="P67" s="1"/>
      <c r="Q67" s="1"/>
      <c r="R67" s="1"/>
      <c r="S67" s="1"/>
      <c r="T67" s="1"/>
      <c r="U67" s="1"/>
      <c r="V67" s="1"/>
    </row>
    <row r="68" spans="1:22" ht="14.25" customHeight="1" x14ac:dyDescent="0.25">
      <c r="A68" s="10" t="s">
        <v>31</v>
      </c>
      <c r="B68" s="10" t="s">
        <v>15</v>
      </c>
      <c r="C68" s="10" t="s">
        <v>28</v>
      </c>
      <c r="D68" s="9">
        <f t="shared" si="4"/>
        <v>2</v>
      </c>
      <c r="E68" s="4">
        <f t="shared" si="6"/>
        <v>701</v>
      </c>
      <c r="F68" s="4">
        <f t="shared" si="5"/>
        <v>3.4999999999999997E-15</v>
      </c>
      <c r="G68" s="1"/>
      <c r="H68" s="1"/>
      <c r="I68" s="4">
        <v>974</v>
      </c>
      <c r="J68" s="4">
        <v>2</v>
      </c>
      <c r="K68" s="4">
        <v>-14.4528</v>
      </c>
      <c r="L68" s="4">
        <f t="shared" si="7"/>
        <v>3.5253318119588403E-15</v>
      </c>
      <c r="M68" s="10" t="s">
        <v>20</v>
      </c>
      <c r="N68" s="1"/>
      <c r="O68" s="10">
        <v>0.35</v>
      </c>
      <c r="P68" s="1"/>
      <c r="Q68" s="1"/>
      <c r="R68" s="1"/>
      <c r="S68" s="1"/>
      <c r="T68" s="1"/>
      <c r="U68" s="1"/>
      <c r="V68" s="1"/>
    </row>
    <row r="69" spans="1:22" ht="14.25" customHeight="1" x14ac:dyDescent="0.25">
      <c r="A69" s="10" t="s">
        <v>29</v>
      </c>
      <c r="B69" s="10" t="s">
        <v>14</v>
      </c>
      <c r="C69" s="10" t="s">
        <v>7</v>
      </c>
      <c r="D69" s="11">
        <f>100-M69</f>
        <v>98.25</v>
      </c>
      <c r="E69" s="10">
        <f>J69-273</f>
        <v>900.49130090898643</v>
      </c>
      <c r="F69" s="4">
        <f>L69</f>
        <v>1.2708666993928189E-13</v>
      </c>
      <c r="G69" s="1"/>
      <c r="H69" s="1"/>
      <c r="I69" s="4">
        <v>8.5215800000000002</v>
      </c>
      <c r="J69">
        <f>10000/I69</f>
        <v>1173.4913009089864</v>
      </c>
      <c r="K69" s="4">
        <v>-12.895899999999999</v>
      </c>
      <c r="L69" s="4">
        <f t="shared" si="7"/>
        <v>1.2708666993928189E-13</v>
      </c>
      <c r="M69" s="1">
        <v>1.75</v>
      </c>
      <c r="N69" s="1"/>
      <c r="O69" s="1"/>
      <c r="P69" s="1"/>
      <c r="Q69" s="1"/>
      <c r="R69" s="1"/>
      <c r="S69" s="1"/>
      <c r="T69" s="1"/>
      <c r="U69" s="1"/>
      <c r="V69" s="1"/>
    </row>
    <row r="70" spans="1:22" ht="14.25" customHeight="1" x14ac:dyDescent="0.25">
      <c r="A70" s="10" t="s">
        <v>29</v>
      </c>
      <c r="B70" s="10" t="s">
        <v>14</v>
      </c>
      <c r="C70" s="10" t="s">
        <v>7</v>
      </c>
      <c r="D70" s="11">
        <f t="shared" ref="D70:D85" si="8">100-M70</f>
        <v>98.25</v>
      </c>
      <c r="E70" s="10">
        <f t="shared" ref="E70:E85" si="9">J70-273</f>
        <v>902.14474845439099</v>
      </c>
      <c r="F70" s="4">
        <f t="shared" ref="F70:F85" si="10">L70</f>
        <v>1.2105981335504796E-13</v>
      </c>
      <c r="G70" s="1"/>
      <c r="H70" s="1"/>
      <c r="I70" s="4">
        <v>8.5095899999999993</v>
      </c>
      <c r="J70" s="5">
        <f t="shared" ref="J70:J85" si="11">10000/I70</f>
        <v>1175.144748454391</v>
      </c>
      <c r="K70" s="4">
        <v>-12.917</v>
      </c>
      <c r="L70" s="4">
        <f t="shared" si="7"/>
        <v>1.2105981335504796E-13</v>
      </c>
      <c r="M70" s="4">
        <v>1.75</v>
      </c>
      <c r="N70" s="1"/>
      <c r="O70" s="1"/>
      <c r="P70" s="1"/>
      <c r="Q70" s="1"/>
      <c r="R70" s="1"/>
      <c r="S70" s="1"/>
      <c r="T70" s="1"/>
      <c r="U70" s="1"/>
      <c r="V70" s="1"/>
    </row>
    <row r="71" spans="1:22" ht="14.25" customHeight="1" x14ac:dyDescent="0.25">
      <c r="A71" s="10" t="s">
        <v>29</v>
      </c>
      <c r="B71" s="10" t="s">
        <v>14</v>
      </c>
      <c r="C71" s="10" t="s">
        <v>7</v>
      </c>
      <c r="D71" s="11">
        <f t="shared" si="8"/>
        <v>98.25</v>
      </c>
      <c r="E71" s="10">
        <f t="shared" si="9"/>
        <v>898.84249968067297</v>
      </c>
      <c r="F71" s="4">
        <f t="shared" si="10"/>
        <v>1.2105981335504796E-13</v>
      </c>
      <c r="G71" s="1"/>
      <c r="H71" s="1"/>
      <c r="I71" s="4">
        <v>8.5335699999999992</v>
      </c>
      <c r="J71" s="5">
        <f t="shared" si="11"/>
        <v>1171.842499680673</v>
      </c>
      <c r="K71" s="4">
        <v>-12.917</v>
      </c>
      <c r="L71" s="4">
        <f t="shared" si="7"/>
        <v>1.2105981335504796E-13</v>
      </c>
      <c r="M71" s="4">
        <v>1.75</v>
      </c>
      <c r="N71" s="1"/>
      <c r="O71" s="1"/>
      <c r="P71" s="1"/>
      <c r="Q71" s="1"/>
      <c r="R71" s="1"/>
      <c r="S71" s="1"/>
      <c r="T71" s="1"/>
      <c r="U71" s="1"/>
      <c r="V71" s="1"/>
    </row>
    <row r="72" spans="1:22" ht="14.25" customHeight="1" x14ac:dyDescent="0.25">
      <c r="A72" s="10" t="s">
        <v>29</v>
      </c>
      <c r="B72" s="10" t="s">
        <v>14</v>
      </c>
      <c r="C72" s="10" t="s">
        <v>7</v>
      </c>
      <c r="D72" s="11">
        <f t="shared" si="8"/>
        <v>98.25</v>
      </c>
      <c r="E72" s="10">
        <f t="shared" si="9"/>
        <v>835.74824540590157</v>
      </c>
      <c r="F72" s="4">
        <f t="shared" si="10"/>
        <v>5.0477751350094524E-14</v>
      </c>
      <c r="G72" s="1"/>
      <c r="H72" s="1"/>
      <c r="I72" s="4">
        <v>9.0191800000000004</v>
      </c>
      <c r="J72" s="5">
        <f t="shared" si="11"/>
        <v>1108.7482454059016</v>
      </c>
      <c r="K72" s="4">
        <v>-13.296900000000001</v>
      </c>
      <c r="L72" s="4">
        <f t="shared" si="7"/>
        <v>5.0477751350094524E-14</v>
      </c>
      <c r="M72" s="4">
        <v>1.75</v>
      </c>
      <c r="N72" s="1"/>
      <c r="O72" s="1"/>
      <c r="P72" s="1"/>
      <c r="Q72" s="1"/>
      <c r="R72" s="1"/>
      <c r="S72" s="1"/>
      <c r="T72" s="1"/>
      <c r="U72" s="1"/>
      <c r="V72" s="1"/>
    </row>
    <row r="73" spans="1:22" ht="14.25" customHeight="1" x14ac:dyDescent="0.25">
      <c r="A73" s="10" t="s">
        <v>29</v>
      </c>
      <c r="B73" s="10" t="s">
        <v>14</v>
      </c>
      <c r="C73" s="10" t="s">
        <v>7</v>
      </c>
      <c r="D73" s="11">
        <f t="shared" si="8"/>
        <v>98.25</v>
      </c>
      <c r="E73" s="10">
        <f t="shared" si="9"/>
        <v>771.19666817727125</v>
      </c>
      <c r="F73" s="4">
        <f t="shared" si="10"/>
        <v>1.9102930691636564E-14</v>
      </c>
      <c r="G73" s="1"/>
      <c r="H73" s="1"/>
      <c r="I73" s="4">
        <v>9.5767399999999991</v>
      </c>
      <c r="J73" s="5">
        <f t="shared" si="11"/>
        <v>1044.1966681772712</v>
      </c>
      <c r="K73" s="4">
        <v>-13.7189</v>
      </c>
      <c r="L73" s="4">
        <f t="shared" si="7"/>
        <v>1.9102930691636564E-14</v>
      </c>
      <c r="M73" s="4">
        <v>1.75</v>
      </c>
      <c r="N73" s="1"/>
      <c r="O73" s="1"/>
      <c r="P73" s="1"/>
      <c r="Q73" s="1"/>
      <c r="R73" s="1"/>
      <c r="S73" s="1"/>
      <c r="T73" s="1"/>
      <c r="U73" s="1"/>
      <c r="V73" s="1"/>
    </row>
    <row r="74" spans="1:22" ht="14.25" customHeight="1" x14ac:dyDescent="0.25">
      <c r="A74" s="10" t="s">
        <v>29</v>
      </c>
      <c r="B74" s="10" t="s">
        <v>14</v>
      </c>
      <c r="C74" s="10" t="s">
        <v>7</v>
      </c>
      <c r="D74" s="11">
        <f t="shared" si="8"/>
        <v>98.25</v>
      </c>
      <c r="E74" s="10">
        <f t="shared" si="9"/>
        <v>769.23989861090263</v>
      </c>
      <c r="F74" s="4">
        <f t="shared" si="10"/>
        <v>1.8416199035246641E-14</v>
      </c>
      <c r="G74" s="1"/>
      <c r="H74" s="1"/>
      <c r="I74" s="4">
        <v>9.5947200000000006</v>
      </c>
      <c r="J74" s="5">
        <f t="shared" si="11"/>
        <v>1042.2398986109026</v>
      </c>
      <c r="K74" s="4">
        <v>-13.7348</v>
      </c>
      <c r="L74" s="4">
        <f t="shared" si="7"/>
        <v>1.8416199035246641E-14</v>
      </c>
      <c r="M74" s="4">
        <v>1.75</v>
      </c>
      <c r="N74" s="1"/>
      <c r="O74" s="1"/>
      <c r="P74" s="1"/>
      <c r="Q74" s="1"/>
      <c r="R74" s="1"/>
      <c r="S74" s="1"/>
      <c r="T74" s="1"/>
      <c r="U74" s="1"/>
      <c r="V74" s="1"/>
    </row>
    <row r="75" spans="1:22" ht="14.25" customHeight="1" x14ac:dyDescent="0.25">
      <c r="A75" s="10" t="s">
        <v>29</v>
      </c>
      <c r="B75" s="10" t="s">
        <v>14</v>
      </c>
      <c r="C75" s="10" t="s">
        <v>7</v>
      </c>
      <c r="D75" s="11">
        <f t="shared" si="8"/>
        <v>95.84</v>
      </c>
      <c r="E75" s="10">
        <f t="shared" si="9"/>
        <v>940.62021697102227</v>
      </c>
      <c r="F75" s="4">
        <f t="shared" si="10"/>
        <v>2.539802813772806E-13</v>
      </c>
      <c r="G75" s="1"/>
      <c r="H75" s="1"/>
      <c r="I75" s="4">
        <v>8.2398100000000003</v>
      </c>
      <c r="J75" s="5">
        <f t="shared" si="11"/>
        <v>1213.6202169710223</v>
      </c>
      <c r="K75" s="4">
        <v>-12.5952</v>
      </c>
      <c r="L75" s="4">
        <f t="shared" si="7"/>
        <v>2.539802813772806E-13</v>
      </c>
      <c r="M75" s="10">
        <v>4.16</v>
      </c>
      <c r="N75" s="1"/>
      <c r="O75" s="1"/>
      <c r="P75" s="1"/>
      <c r="Q75" s="1"/>
      <c r="R75" s="1"/>
      <c r="S75" s="1"/>
      <c r="T75" s="1"/>
      <c r="U75" s="1"/>
      <c r="V75" s="1"/>
    </row>
    <row r="76" spans="1:22" ht="14.25" customHeight="1" x14ac:dyDescent="0.25">
      <c r="A76" s="10" t="s">
        <v>29</v>
      </c>
      <c r="B76" s="10" t="s">
        <v>14</v>
      </c>
      <c r="C76" s="10" t="s">
        <v>7</v>
      </c>
      <c r="D76" s="11">
        <f t="shared" si="8"/>
        <v>95.84</v>
      </c>
      <c r="E76" s="10">
        <f t="shared" si="9"/>
        <v>915.54197989700106</v>
      </c>
      <c r="F76" s="4">
        <f t="shared" si="10"/>
        <v>1.8297847342954058E-13</v>
      </c>
      <c r="G76" s="1"/>
      <c r="H76" s="1"/>
      <c r="I76" s="4">
        <v>8.4136699999999998</v>
      </c>
      <c r="J76" s="5">
        <f t="shared" si="11"/>
        <v>1188.5419798970011</v>
      </c>
      <c r="K76" s="4">
        <v>-12.7376</v>
      </c>
      <c r="L76" s="4">
        <f t="shared" si="7"/>
        <v>1.8297847342954058E-13</v>
      </c>
      <c r="M76" s="10">
        <v>4.16</v>
      </c>
      <c r="N76" s="1"/>
      <c r="O76" s="1"/>
      <c r="P76" s="1"/>
      <c r="Q76" s="1"/>
      <c r="R76" s="1"/>
      <c r="S76" s="1"/>
      <c r="T76" s="1"/>
      <c r="U76" s="1"/>
      <c r="V76" s="1"/>
    </row>
    <row r="77" spans="1:22" ht="14.25" customHeight="1" x14ac:dyDescent="0.25">
      <c r="A77" s="10" t="s">
        <v>29</v>
      </c>
      <c r="B77" s="10" t="s">
        <v>14</v>
      </c>
      <c r="C77" s="10" t="s">
        <v>7</v>
      </c>
      <c r="D77" s="11">
        <f t="shared" si="8"/>
        <v>95.84</v>
      </c>
      <c r="E77" s="10">
        <f t="shared" si="9"/>
        <v>837.96298271341584</v>
      </c>
      <c r="F77" s="4">
        <f t="shared" si="10"/>
        <v>6.4357623683764017E-14</v>
      </c>
      <c r="G77" s="1"/>
      <c r="H77" s="1"/>
      <c r="I77" s="4">
        <v>9.0012000000000008</v>
      </c>
      <c r="J77" s="5">
        <f t="shared" si="11"/>
        <v>1110.9629827134158</v>
      </c>
      <c r="K77" s="4">
        <v>-13.1914</v>
      </c>
      <c r="L77" s="4">
        <f t="shared" si="7"/>
        <v>6.4357623683764017E-14</v>
      </c>
      <c r="M77" s="10">
        <v>4.16</v>
      </c>
      <c r="N77" s="1"/>
      <c r="O77" s="1"/>
      <c r="P77" s="1"/>
      <c r="Q77" s="1"/>
      <c r="R77" s="1"/>
      <c r="S77" s="1"/>
      <c r="T77" s="1"/>
      <c r="U77" s="1"/>
      <c r="V77" s="1"/>
    </row>
    <row r="78" spans="1:22" ht="14.25" customHeight="1" x14ac:dyDescent="0.25">
      <c r="A78" s="10" t="s">
        <v>29</v>
      </c>
      <c r="B78" s="10" t="s">
        <v>14</v>
      </c>
      <c r="C78" s="10" t="s">
        <v>7</v>
      </c>
      <c r="D78" s="11">
        <f t="shared" si="8"/>
        <v>95.84</v>
      </c>
      <c r="E78" s="10">
        <f t="shared" si="9"/>
        <v>767.93909361269357</v>
      </c>
      <c r="F78" s="4">
        <f t="shared" si="10"/>
        <v>2.1305905675427174E-14</v>
      </c>
      <c r="G78" s="1"/>
      <c r="H78" s="1"/>
      <c r="I78" s="4">
        <v>9.6067099999999996</v>
      </c>
      <c r="J78" s="5">
        <f t="shared" si="11"/>
        <v>1040.9390936126936</v>
      </c>
      <c r="K78" s="4">
        <v>-13.6715</v>
      </c>
      <c r="L78" s="4">
        <f t="shared" si="7"/>
        <v>2.1305905675427174E-14</v>
      </c>
      <c r="M78" s="10">
        <v>4.16</v>
      </c>
      <c r="N78" s="1"/>
      <c r="O78" s="1"/>
      <c r="P78" s="1"/>
      <c r="Q78" s="1"/>
      <c r="R78" s="1"/>
      <c r="S78" s="1"/>
      <c r="T78" s="1"/>
      <c r="U78" s="1"/>
      <c r="V78" s="1"/>
    </row>
    <row r="79" spans="1:22" ht="14.25" customHeight="1" x14ac:dyDescent="0.25">
      <c r="A79" s="10" t="s">
        <v>29</v>
      </c>
      <c r="B79" s="10" t="s">
        <v>14</v>
      </c>
      <c r="C79" s="10" t="s">
        <v>7</v>
      </c>
      <c r="D79" s="11">
        <f t="shared" si="8"/>
        <v>93.44</v>
      </c>
      <c r="E79" s="10">
        <f t="shared" si="9"/>
        <v>902.14474845439099</v>
      </c>
      <c r="F79" s="4">
        <f t="shared" si="10"/>
        <v>1.7426091898259212E-13</v>
      </c>
      <c r="G79" s="1"/>
      <c r="H79" s="1"/>
      <c r="I79" s="4">
        <v>8.5095899999999993</v>
      </c>
      <c r="J79" s="5">
        <f t="shared" si="11"/>
        <v>1175.144748454391</v>
      </c>
      <c r="K79" s="4">
        <v>-12.758800000000001</v>
      </c>
      <c r="L79" s="4">
        <f t="shared" si="7"/>
        <v>1.7426091898259212E-13</v>
      </c>
      <c r="M79" s="10">
        <v>6.56</v>
      </c>
      <c r="N79" s="1"/>
      <c r="O79" s="1"/>
      <c r="P79" s="1"/>
      <c r="Q79" s="1"/>
      <c r="R79" s="1"/>
      <c r="S79" s="1"/>
      <c r="T79" s="1"/>
      <c r="U79" s="1"/>
      <c r="V79" s="1"/>
    </row>
    <row r="80" spans="1:22" ht="14.25" customHeight="1" x14ac:dyDescent="0.25">
      <c r="A80" s="10" t="s">
        <v>29</v>
      </c>
      <c r="B80" s="10" t="s">
        <v>14</v>
      </c>
      <c r="C80" s="10" t="s">
        <v>7</v>
      </c>
      <c r="D80" s="11">
        <f t="shared" si="8"/>
        <v>93.44</v>
      </c>
      <c r="E80" s="10">
        <f t="shared" si="9"/>
        <v>898.01914967615471</v>
      </c>
      <c r="F80" s="4">
        <f t="shared" si="10"/>
        <v>1.8297847342954058E-13</v>
      </c>
      <c r="G80" s="1"/>
      <c r="H80" s="1"/>
      <c r="I80" s="4">
        <v>8.5395699999999994</v>
      </c>
      <c r="J80" s="5">
        <f t="shared" si="11"/>
        <v>1171.0191496761547</v>
      </c>
      <c r="K80" s="4">
        <v>-12.7376</v>
      </c>
      <c r="L80" s="4">
        <f t="shared" si="7"/>
        <v>1.8297847342954058E-13</v>
      </c>
      <c r="M80" s="10">
        <v>6.56</v>
      </c>
      <c r="N80" s="1"/>
      <c r="O80" s="1"/>
      <c r="P80" s="1"/>
      <c r="Q80" s="1"/>
      <c r="R80" s="1"/>
      <c r="S80" s="1"/>
      <c r="T80" s="1"/>
      <c r="U80" s="1"/>
      <c r="V80" s="1"/>
    </row>
    <row r="81" spans="1:22" ht="14.25" customHeight="1" x14ac:dyDescent="0.25">
      <c r="A81" s="10" t="s">
        <v>29</v>
      </c>
      <c r="B81" s="10" t="s">
        <v>14</v>
      </c>
      <c r="C81" s="10" t="s">
        <v>7</v>
      </c>
      <c r="D81" s="11">
        <f t="shared" si="8"/>
        <v>93.44</v>
      </c>
      <c r="E81" s="10">
        <f t="shared" si="9"/>
        <v>835.01114216004544</v>
      </c>
      <c r="F81" s="4">
        <f t="shared" si="10"/>
        <v>7.6295689116153117E-14</v>
      </c>
      <c r="G81" s="1"/>
      <c r="H81" s="1"/>
      <c r="I81" s="4">
        <v>9.0251800000000006</v>
      </c>
      <c r="J81" s="5">
        <f t="shared" si="11"/>
        <v>1108.0111421600454</v>
      </c>
      <c r="K81" s="4">
        <v>-13.1175</v>
      </c>
      <c r="L81" s="4">
        <f t="shared" si="7"/>
        <v>7.6295689116153117E-14</v>
      </c>
      <c r="M81" s="10">
        <v>6.56</v>
      </c>
      <c r="N81" s="1"/>
      <c r="O81" s="1"/>
      <c r="P81" s="1"/>
      <c r="Q81" s="1"/>
      <c r="R81" s="1"/>
      <c r="S81" s="1"/>
      <c r="T81" s="1"/>
      <c r="U81" s="1"/>
      <c r="V81" s="1"/>
    </row>
    <row r="82" spans="1:22" ht="14.25" customHeight="1" x14ac:dyDescent="0.25">
      <c r="A82" s="10" t="s">
        <v>29</v>
      </c>
      <c r="B82" s="10" t="s">
        <v>14</v>
      </c>
      <c r="C82" s="10" t="s">
        <v>7</v>
      </c>
      <c r="D82" s="11">
        <f t="shared" si="8"/>
        <v>93.44</v>
      </c>
      <c r="E82" s="10">
        <f t="shared" si="9"/>
        <v>769.8909772201323</v>
      </c>
      <c r="F82" s="4">
        <f t="shared" si="10"/>
        <v>2.7497929868950551E-14</v>
      </c>
      <c r="G82" s="1"/>
      <c r="H82" s="1"/>
      <c r="I82" s="4">
        <v>9.58873</v>
      </c>
      <c r="J82" s="5">
        <f t="shared" si="11"/>
        <v>1042.8909772201323</v>
      </c>
      <c r="K82" s="4">
        <v>-13.560700000000001</v>
      </c>
      <c r="L82" s="4">
        <f t="shared" si="7"/>
        <v>2.7497929868950551E-14</v>
      </c>
      <c r="M82" s="10">
        <v>6.56</v>
      </c>
      <c r="N82" s="1"/>
      <c r="O82" s="1"/>
      <c r="P82" s="1"/>
      <c r="Q82" s="1"/>
      <c r="R82" s="1"/>
      <c r="S82" s="1"/>
      <c r="T82" s="1"/>
      <c r="U82" s="1"/>
      <c r="V82" s="1"/>
    </row>
    <row r="83" spans="1:22" ht="14.25" customHeight="1" x14ac:dyDescent="0.25">
      <c r="A83" s="10" t="s">
        <v>29</v>
      </c>
      <c r="B83" s="10" t="s">
        <v>14</v>
      </c>
      <c r="C83" s="10" t="s">
        <v>7</v>
      </c>
      <c r="D83" s="11">
        <f t="shared" si="8"/>
        <v>93.44</v>
      </c>
      <c r="E83" s="10">
        <f t="shared" si="9"/>
        <v>766.64045074651381</v>
      </c>
      <c r="F83" s="4">
        <f t="shared" si="10"/>
        <v>2.6193890037214819E-14</v>
      </c>
      <c r="G83" s="1"/>
      <c r="H83" s="1"/>
      <c r="I83" s="4">
        <v>9.6187100000000001</v>
      </c>
      <c r="J83" s="5">
        <f t="shared" si="11"/>
        <v>1039.6404507465138</v>
      </c>
      <c r="K83" s="4">
        <v>-13.581799999999999</v>
      </c>
      <c r="L83" s="4">
        <f t="shared" si="7"/>
        <v>2.6193890037214819E-14</v>
      </c>
      <c r="M83" s="10">
        <v>6.56</v>
      </c>
      <c r="N83" s="1"/>
      <c r="O83" s="1"/>
      <c r="P83" s="1"/>
      <c r="Q83" s="1"/>
      <c r="R83" s="1"/>
      <c r="S83" s="1"/>
      <c r="T83" s="1"/>
      <c r="U83" s="1"/>
      <c r="V83" s="1"/>
    </row>
    <row r="84" spans="1:22" ht="14.25" customHeight="1" x14ac:dyDescent="0.25">
      <c r="A84" s="10" t="s">
        <v>29</v>
      </c>
      <c r="B84" s="10" t="s">
        <v>14</v>
      </c>
      <c r="C84" s="10" t="s">
        <v>7</v>
      </c>
      <c r="D84" s="11">
        <f t="shared" si="8"/>
        <v>93.44</v>
      </c>
      <c r="E84" s="10">
        <f t="shared" si="9"/>
        <v>702.21015778900346</v>
      </c>
      <c r="F84" s="4">
        <f t="shared" si="10"/>
        <v>8.2603794957717359E-15</v>
      </c>
      <c r="G84" s="1"/>
      <c r="H84" s="1"/>
      <c r="I84" s="4">
        <v>10.254200000000001</v>
      </c>
      <c r="J84" s="5">
        <f t="shared" si="11"/>
        <v>975.21015778900346</v>
      </c>
      <c r="K84" s="4">
        <v>-14.083</v>
      </c>
      <c r="L84" s="4">
        <f t="shared" si="7"/>
        <v>8.2603794957717359E-15</v>
      </c>
      <c r="M84" s="10">
        <v>6.56</v>
      </c>
      <c r="N84" s="1"/>
      <c r="O84" s="1"/>
      <c r="P84" s="1"/>
      <c r="Q84" s="1"/>
      <c r="R84" s="1"/>
      <c r="S84" s="1"/>
      <c r="T84" s="1"/>
      <c r="U84" s="1"/>
      <c r="V84" s="1"/>
    </row>
    <row r="85" spans="1:22" ht="14.25" customHeight="1" x14ac:dyDescent="0.25">
      <c r="A85" s="10" t="s">
        <v>29</v>
      </c>
      <c r="B85" s="10" t="s">
        <v>14</v>
      </c>
      <c r="C85" s="10" t="s">
        <v>7</v>
      </c>
      <c r="D85" s="11">
        <f t="shared" si="8"/>
        <v>93.44</v>
      </c>
      <c r="E85" s="10">
        <f t="shared" si="9"/>
        <v>702.21015778900346</v>
      </c>
      <c r="F85" s="4">
        <f t="shared" si="10"/>
        <v>9.1033239967990831E-15</v>
      </c>
      <c r="G85" s="1"/>
      <c r="H85" s="1"/>
      <c r="I85" s="4">
        <v>10.254200000000001</v>
      </c>
      <c r="J85" s="5">
        <f t="shared" si="11"/>
        <v>975.21015778900346</v>
      </c>
      <c r="K85" s="4">
        <v>-14.040800000000001</v>
      </c>
      <c r="L85" s="4">
        <f t="shared" si="7"/>
        <v>9.1033239967990831E-15</v>
      </c>
      <c r="M85" s="10">
        <v>6.56</v>
      </c>
      <c r="N85" s="1"/>
      <c r="O85" s="1"/>
      <c r="P85" s="1"/>
      <c r="Q85" s="1"/>
      <c r="R85" s="1"/>
      <c r="S85" s="1"/>
      <c r="T85" s="1"/>
      <c r="U85" s="1"/>
      <c r="V85" s="1"/>
    </row>
    <row r="86" spans="1:22" s="14" customFormat="1" ht="14.25" customHeight="1" x14ac:dyDescent="0.25">
      <c r="A86" s="6" t="s">
        <v>27</v>
      </c>
      <c r="B86" s="6" t="s">
        <v>15</v>
      </c>
      <c r="C86" s="6" t="s">
        <v>28</v>
      </c>
      <c r="D86" s="12">
        <f>100-J86</f>
        <v>99.893939000000003</v>
      </c>
      <c r="E86" s="6"/>
      <c r="F86" s="13"/>
      <c r="G86" s="6"/>
      <c r="H86" s="6"/>
      <c r="I86" s="6"/>
      <c r="J86" s="6">
        <v>0.106061</v>
      </c>
      <c r="K86" s="6">
        <v>-11.81</v>
      </c>
      <c r="L86" s="6">
        <f>10^K86</f>
        <v>1.5488166189124747E-12</v>
      </c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s="14" customFormat="1" ht="14.25" customHeight="1" x14ac:dyDescent="0.25">
      <c r="A87" s="6" t="s">
        <v>27</v>
      </c>
      <c r="B87" s="6" t="s">
        <v>15</v>
      </c>
      <c r="C87" s="6" t="s">
        <v>28</v>
      </c>
      <c r="D87" s="12">
        <f t="shared" ref="D87:D130" si="12">100-J87</f>
        <v>99</v>
      </c>
      <c r="E87" s="6"/>
      <c r="F87" s="13"/>
      <c r="G87" s="6"/>
      <c r="H87" s="6"/>
      <c r="I87" s="6"/>
      <c r="J87" s="6">
        <v>1</v>
      </c>
      <c r="K87" s="6">
        <v>-11.83</v>
      </c>
      <c r="L87" s="6">
        <f t="shared" ref="L87:L130" si="13">10^K87</f>
        <v>1.4791083881682012E-12</v>
      </c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s="14" customFormat="1" ht="14.25" customHeight="1" x14ac:dyDescent="0.25">
      <c r="A88" s="6" t="s">
        <v>27</v>
      </c>
      <c r="B88" s="6" t="s">
        <v>15</v>
      </c>
      <c r="C88" s="6" t="s">
        <v>28</v>
      </c>
      <c r="D88" s="12">
        <f t="shared" si="12"/>
        <v>98</v>
      </c>
      <c r="E88" s="6"/>
      <c r="F88" s="13"/>
      <c r="G88" s="6"/>
      <c r="H88" s="6"/>
      <c r="I88" s="6"/>
      <c r="J88" s="6">
        <v>2</v>
      </c>
      <c r="K88" s="6">
        <v>-11.82</v>
      </c>
      <c r="L88" s="6">
        <f t="shared" si="13"/>
        <v>1.5135612484362015E-12</v>
      </c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s="14" customFormat="1" ht="14.25" customHeight="1" x14ac:dyDescent="0.25">
      <c r="A89" s="6" t="s">
        <v>27</v>
      </c>
      <c r="B89" s="6" t="s">
        <v>15</v>
      </c>
      <c r="C89" s="6" t="s">
        <v>28</v>
      </c>
      <c r="D89" s="12">
        <f t="shared" si="12"/>
        <v>96</v>
      </c>
      <c r="E89" s="6"/>
      <c r="F89" s="13"/>
      <c r="G89" s="6"/>
      <c r="H89" s="6"/>
      <c r="I89" s="6"/>
      <c r="J89" s="6">
        <v>4</v>
      </c>
      <c r="K89" s="6">
        <v>-11.83</v>
      </c>
      <c r="L89" s="6">
        <f t="shared" si="13"/>
        <v>1.4791083881682012E-12</v>
      </c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s="14" customFormat="1" ht="14.25" customHeight="1" x14ac:dyDescent="0.25">
      <c r="A90" s="6" t="s">
        <v>27</v>
      </c>
      <c r="B90" s="6" t="s">
        <v>15</v>
      </c>
      <c r="C90" s="6" t="s">
        <v>28</v>
      </c>
      <c r="D90" s="12">
        <f t="shared" si="12"/>
        <v>94</v>
      </c>
      <c r="E90" s="6"/>
      <c r="F90" s="13"/>
      <c r="G90" s="6"/>
      <c r="H90" s="6"/>
      <c r="I90" s="6"/>
      <c r="J90" s="6">
        <v>6</v>
      </c>
      <c r="K90" s="6">
        <v>-11.8</v>
      </c>
      <c r="L90" s="6">
        <f t="shared" si="13"/>
        <v>1.5848931924611065E-12</v>
      </c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s="14" customFormat="1" ht="14.25" customHeight="1" x14ac:dyDescent="0.25">
      <c r="A91" s="6" t="s">
        <v>27</v>
      </c>
      <c r="B91" s="6" t="s">
        <v>15</v>
      </c>
      <c r="C91" s="6" t="s">
        <v>28</v>
      </c>
      <c r="D91" s="12">
        <f t="shared" si="12"/>
        <v>99.893939000000003</v>
      </c>
      <c r="E91" s="6"/>
      <c r="F91" s="13"/>
      <c r="G91" s="6"/>
      <c r="H91" s="6"/>
      <c r="I91" s="6"/>
      <c r="J91" s="6">
        <v>0.106061</v>
      </c>
      <c r="K91" s="6">
        <v>-12.14</v>
      </c>
      <c r="L91" s="6">
        <f t="shared" si="13"/>
        <v>7.2443596007498653E-13</v>
      </c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s="14" customFormat="1" ht="14.25" customHeight="1" x14ac:dyDescent="0.25">
      <c r="A92" s="6" t="s">
        <v>27</v>
      </c>
      <c r="B92" s="6" t="s">
        <v>15</v>
      </c>
      <c r="C92" s="6" t="s">
        <v>28</v>
      </c>
      <c r="D92" s="12">
        <f t="shared" si="12"/>
        <v>99</v>
      </c>
      <c r="E92" s="6"/>
      <c r="F92" s="13"/>
      <c r="G92" s="6"/>
      <c r="H92" s="6"/>
      <c r="I92" s="6"/>
      <c r="J92" s="6">
        <v>1</v>
      </c>
      <c r="K92" s="6">
        <v>-12.16</v>
      </c>
      <c r="L92" s="6">
        <f t="shared" si="13"/>
        <v>6.9183097091893335E-13</v>
      </c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s="14" customFormat="1" ht="14.25" customHeight="1" x14ac:dyDescent="0.25">
      <c r="A93" s="6" t="s">
        <v>27</v>
      </c>
      <c r="B93" s="6" t="s">
        <v>15</v>
      </c>
      <c r="C93" s="6" t="s">
        <v>28</v>
      </c>
      <c r="D93" s="12">
        <f t="shared" si="12"/>
        <v>98</v>
      </c>
      <c r="E93" s="6"/>
      <c r="F93" s="13"/>
      <c r="G93" s="6"/>
      <c r="H93" s="6"/>
      <c r="I93" s="6"/>
      <c r="J93" s="6">
        <v>2</v>
      </c>
      <c r="K93" s="6">
        <v>-12.16</v>
      </c>
      <c r="L93" s="6">
        <f t="shared" si="13"/>
        <v>6.9183097091893335E-13</v>
      </c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s="14" customFormat="1" ht="14.25" customHeight="1" x14ac:dyDescent="0.25">
      <c r="A94" s="6" t="s">
        <v>27</v>
      </c>
      <c r="B94" s="6" t="s">
        <v>15</v>
      </c>
      <c r="C94" s="6" t="s">
        <v>28</v>
      </c>
      <c r="D94" s="12">
        <f t="shared" si="12"/>
        <v>96</v>
      </c>
      <c r="E94" s="6"/>
      <c r="F94" s="13"/>
      <c r="G94" s="6"/>
      <c r="H94" s="6"/>
      <c r="I94" s="6"/>
      <c r="J94" s="6">
        <v>4</v>
      </c>
      <c r="K94" s="6">
        <v>-12.17</v>
      </c>
      <c r="L94" s="6">
        <f t="shared" si="13"/>
        <v>6.7608297539198111E-13</v>
      </c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s="14" customFormat="1" ht="14.25" customHeight="1" x14ac:dyDescent="0.25">
      <c r="A95" s="6" t="s">
        <v>27</v>
      </c>
      <c r="B95" s="6" t="s">
        <v>15</v>
      </c>
      <c r="C95" s="6" t="s">
        <v>28</v>
      </c>
      <c r="D95" s="12">
        <f t="shared" si="12"/>
        <v>94</v>
      </c>
      <c r="E95" s="6"/>
      <c r="F95" s="13"/>
      <c r="G95" s="6"/>
      <c r="H95" s="6"/>
      <c r="I95" s="6"/>
      <c r="J95" s="6">
        <v>6</v>
      </c>
      <c r="K95" s="6">
        <v>-12.16</v>
      </c>
      <c r="L95" s="6">
        <f t="shared" si="13"/>
        <v>6.9183097091893335E-13</v>
      </c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s="14" customFormat="1" ht="14.25" customHeight="1" x14ac:dyDescent="0.25">
      <c r="A96" s="6" t="s">
        <v>27</v>
      </c>
      <c r="B96" s="6" t="s">
        <v>15</v>
      </c>
      <c r="C96" s="6" t="s">
        <v>28</v>
      </c>
      <c r="D96" s="12">
        <f t="shared" si="12"/>
        <v>99.893939000000003</v>
      </c>
      <c r="E96" s="6"/>
      <c r="F96" s="13"/>
      <c r="G96" s="6"/>
      <c r="H96" s="6"/>
      <c r="I96" s="6"/>
      <c r="J96" s="6">
        <v>0.106061</v>
      </c>
      <c r="K96" s="6">
        <v>-12.47</v>
      </c>
      <c r="L96" s="6">
        <f t="shared" si="13"/>
        <v>3.3884415613920079E-13</v>
      </c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s="14" customFormat="1" ht="14.25" customHeight="1" x14ac:dyDescent="0.25">
      <c r="A97" s="6" t="s">
        <v>27</v>
      </c>
      <c r="B97" s="6" t="s">
        <v>15</v>
      </c>
      <c r="C97" s="6" t="s">
        <v>28</v>
      </c>
      <c r="D97" s="12">
        <f t="shared" si="12"/>
        <v>99</v>
      </c>
      <c r="E97" s="6"/>
      <c r="F97" s="13"/>
      <c r="G97" s="6"/>
      <c r="H97" s="6"/>
      <c r="I97" s="6"/>
      <c r="J97" s="6">
        <v>1</v>
      </c>
      <c r="K97" s="6">
        <v>-12.5</v>
      </c>
      <c r="L97" s="6">
        <f t="shared" si="13"/>
        <v>3.1622776601683746E-13</v>
      </c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s="14" customFormat="1" ht="14.25" customHeight="1" x14ac:dyDescent="0.25">
      <c r="A98" s="6" t="s">
        <v>27</v>
      </c>
      <c r="B98" s="6" t="s">
        <v>15</v>
      </c>
      <c r="C98" s="6" t="s">
        <v>28</v>
      </c>
      <c r="D98" s="12">
        <f t="shared" si="12"/>
        <v>98</v>
      </c>
      <c r="E98" s="6"/>
      <c r="F98" s="13"/>
      <c r="G98" s="6"/>
      <c r="H98" s="6"/>
      <c r="I98" s="6"/>
      <c r="J98" s="6">
        <v>2</v>
      </c>
      <c r="K98" s="6">
        <v>-12.51</v>
      </c>
      <c r="L98" s="6">
        <f t="shared" si="13"/>
        <v>3.0902954325135866E-13</v>
      </c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s="14" customFormat="1" ht="14.25" customHeight="1" x14ac:dyDescent="0.25">
      <c r="A99" s="6" t="s">
        <v>27</v>
      </c>
      <c r="B99" s="6" t="s">
        <v>15</v>
      </c>
      <c r="C99" s="6" t="s">
        <v>28</v>
      </c>
      <c r="D99" s="12">
        <f t="shared" si="12"/>
        <v>96</v>
      </c>
      <c r="E99" s="6"/>
      <c r="F99" s="13"/>
      <c r="G99" s="6"/>
      <c r="H99" s="6"/>
      <c r="I99" s="6"/>
      <c r="J99" s="6">
        <v>4</v>
      </c>
      <c r="K99" s="6">
        <v>-12.52</v>
      </c>
      <c r="L99" s="6">
        <f t="shared" si="13"/>
        <v>3.0199517204020122E-13</v>
      </c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s="14" customFormat="1" ht="14.25" customHeight="1" x14ac:dyDescent="0.25">
      <c r="A100" s="6" t="s">
        <v>27</v>
      </c>
      <c r="B100" s="6" t="s">
        <v>15</v>
      </c>
      <c r="C100" s="6" t="s">
        <v>28</v>
      </c>
      <c r="D100" s="12">
        <f t="shared" si="12"/>
        <v>94.030299999999997</v>
      </c>
      <c r="E100" s="6"/>
      <c r="F100" s="13"/>
      <c r="G100" s="6"/>
      <c r="H100" s="6"/>
      <c r="I100" s="6"/>
      <c r="J100" s="6">
        <v>5.9696999999999996</v>
      </c>
      <c r="K100" s="6">
        <v>-12.52</v>
      </c>
      <c r="L100" s="6">
        <f t="shared" si="13"/>
        <v>3.0199517204020122E-13</v>
      </c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s="14" customFormat="1" ht="14.25" customHeight="1" x14ac:dyDescent="0.25">
      <c r="A101" s="6" t="s">
        <v>27</v>
      </c>
      <c r="B101" s="6" t="s">
        <v>15</v>
      </c>
      <c r="C101" s="6" t="s">
        <v>28</v>
      </c>
      <c r="D101" s="12">
        <f t="shared" si="12"/>
        <v>99.893939000000003</v>
      </c>
      <c r="E101" s="6"/>
      <c r="F101" s="13"/>
      <c r="G101" s="6"/>
      <c r="H101" s="6"/>
      <c r="I101" s="6"/>
      <c r="J101" s="6">
        <v>0.106061</v>
      </c>
      <c r="K101" s="6">
        <v>-12.79</v>
      </c>
      <c r="L101" s="6">
        <f t="shared" si="13"/>
        <v>1.6218100973589265E-13</v>
      </c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s="14" customFormat="1" ht="14.25" customHeight="1" x14ac:dyDescent="0.25">
      <c r="A102" s="6" t="s">
        <v>27</v>
      </c>
      <c r="B102" s="6" t="s">
        <v>15</v>
      </c>
      <c r="C102" s="6" t="s">
        <v>28</v>
      </c>
      <c r="D102" s="12">
        <f t="shared" si="12"/>
        <v>99</v>
      </c>
      <c r="E102" s="6"/>
      <c r="F102" s="13"/>
      <c r="G102" s="6"/>
      <c r="H102" s="6"/>
      <c r="I102" s="6"/>
      <c r="J102" s="6">
        <v>1</v>
      </c>
      <c r="K102" s="6">
        <v>-12.83</v>
      </c>
      <c r="L102" s="6">
        <f t="shared" si="13"/>
        <v>1.4791083881682047E-13</v>
      </c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s="14" customFormat="1" ht="14.25" customHeight="1" x14ac:dyDescent="0.25">
      <c r="A103" s="6" t="s">
        <v>27</v>
      </c>
      <c r="B103" s="6" t="s">
        <v>15</v>
      </c>
      <c r="C103" s="6" t="s">
        <v>28</v>
      </c>
      <c r="D103" s="12">
        <f t="shared" si="12"/>
        <v>98</v>
      </c>
      <c r="E103" s="6"/>
      <c r="F103" s="13"/>
      <c r="G103" s="6"/>
      <c r="H103" s="6"/>
      <c r="I103" s="6"/>
      <c r="J103" s="6">
        <v>2</v>
      </c>
      <c r="K103" s="6">
        <v>-12.84</v>
      </c>
      <c r="L103" s="6">
        <f t="shared" si="13"/>
        <v>1.4454397707459251E-13</v>
      </c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s="14" customFormat="1" ht="14.25" customHeight="1" x14ac:dyDescent="0.25">
      <c r="A104" s="6" t="s">
        <v>27</v>
      </c>
      <c r="B104" s="6" t="s">
        <v>15</v>
      </c>
      <c r="C104" s="6" t="s">
        <v>28</v>
      </c>
      <c r="D104" s="12">
        <f t="shared" si="12"/>
        <v>96</v>
      </c>
      <c r="E104" s="6"/>
      <c r="F104" s="13"/>
      <c r="G104" s="6"/>
      <c r="H104" s="6"/>
      <c r="I104" s="6"/>
      <c r="J104" s="6">
        <v>4</v>
      </c>
      <c r="K104" s="6">
        <v>-12.86</v>
      </c>
      <c r="L104" s="6">
        <f t="shared" si="13"/>
        <v>1.3803842646028828E-13</v>
      </c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s="14" customFormat="1" ht="14.25" customHeight="1" x14ac:dyDescent="0.25">
      <c r="A105" s="6" t="s">
        <v>27</v>
      </c>
      <c r="B105" s="6" t="s">
        <v>15</v>
      </c>
      <c r="C105" s="6" t="s">
        <v>28</v>
      </c>
      <c r="D105" s="12">
        <f t="shared" si="12"/>
        <v>94.015150000000006</v>
      </c>
      <c r="E105" s="6"/>
      <c r="F105" s="13"/>
      <c r="G105" s="6"/>
      <c r="H105" s="6"/>
      <c r="I105" s="6"/>
      <c r="J105" s="6">
        <v>5.9848499999999998</v>
      </c>
      <c r="K105" s="6">
        <v>-12.87</v>
      </c>
      <c r="L105" s="6">
        <f t="shared" si="13"/>
        <v>1.3489628825916516E-13</v>
      </c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s="14" customFormat="1" ht="14.25" customHeight="1" x14ac:dyDescent="0.25">
      <c r="A106" s="6" t="s">
        <v>27</v>
      </c>
      <c r="B106" s="6" t="s">
        <v>15</v>
      </c>
      <c r="C106" s="6" t="s">
        <v>28</v>
      </c>
      <c r="D106" s="12">
        <f t="shared" si="12"/>
        <v>99.893939000000003</v>
      </c>
      <c r="E106" s="6"/>
      <c r="F106" s="13"/>
      <c r="G106" s="6"/>
      <c r="H106" s="6"/>
      <c r="I106" s="6"/>
      <c r="J106" s="6">
        <v>0.106061</v>
      </c>
      <c r="K106" s="6">
        <v>-13.05</v>
      </c>
      <c r="L106" s="6">
        <f t="shared" si="13"/>
        <v>8.9125093813374273E-14</v>
      </c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s="14" customFormat="1" ht="14.25" customHeight="1" x14ac:dyDescent="0.25">
      <c r="A107" s="6" t="s">
        <v>27</v>
      </c>
      <c r="B107" s="6" t="s">
        <v>15</v>
      </c>
      <c r="C107" s="6" t="s">
        <v>28</v>
      </c>
      <c r="D107" s="12">
        <f t="shared" si="12"/>
        <v>99</v>
      </c>
      <c r="E107" s="6"/>
      <c r="F107" s="13"/>
      <c r="G107" s="6"/>
      <c r="H107" s="6"/>
      <c r="I107" s="6"/>
      <c r="J107" s="6">
        <v>1</v>
      </c>
      <c r="K107" s="6">
        <v>-13.09</v>
      </c>
      <c r="L107" s="6">
        <f t="shared" si="13"/>
        <v>8.1283051616409697E-14</v>
      </c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s="14" customFormat="1" ht="14.25" customHeight="1" x14ac:dyDescent="0.25">
      <c r="A108" s="6" t="s">
        <v>27</v>
      </c>
      <c r="B108" s="6" t="s">
        <v>15</v>
      </c>
      <c r="C108" s="6" t="s">
        <v>28</v>
      </c>
      <c r="D108" s="12">
        <f t="shared" si="12"/>
        <v>98</v>
      </c>
      <c r="E108" s="6"/>
      <c r="F108" s="13"/>
      <c r="G108" s="6"/>
      <c r="H108" s="6"/>
      <c r="I108" s="6"/>
      <c r="J108" s="6">
        <v>2</v>
      </c>
      <c r="K108" s="6">
        <v>-13.1</v>
      </c>
      <c r="L108" s="6">
        <f t="shared" si="13"/>
        <v>7.9432823472427931E-14</v>
      </c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s="14" customFormat="1" ht="14.25" customHeight="1" x14ac:dyDescent="0.25">
      <c r="A109" s="6" t="s">
        <v>27</v>
      </c>
      <c r="B109" s="6" t="s">
        <v>15</v>
      </c>
      <c r="C109" s="6" t="s">
        <v>28</v>
      </c>
      <c r="D109" s="12">
        <f t="shared" si="12"/>
        <v>96</v>
      </c>
      <c r="E109" s="6"/>
      <c r="F109" s="13"/>
      <c r="G109" s="6"/>
      <c r="H109" s="6"/>
      <c r="I109" s="6"/>
      <c r="J109" s="6">
        <v>4</v>
      </c>
      <c r="K109" s="6">
        <v>-13.13</v>
      </c>
      <c r="L109" s="6">
        <f t="shared" si="13"/>
        <v>7.4131024130091305E-14</v>
      </c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s="14" customFormat="1" ht="14.25" customHeight="1" x14ac:dyDescent="0.25">
      <c r="A110" s="6" t="s">
        <v>27</v>
      </c>
      <c r="B110" s="6" t="s">
        <v>15</v>
      </c>
      <c r="C110" s="6" t="s">
        <v>28</v>
      </c>
      <c r="D110" s="12">
        <f t="shared" si="12"/>
        <v>94</v>
      </c>
      <c r="E110" s="6"/>
      <c r="F110" s="13"/>
      <c r="G110" s="6"/>
      <c r="H110" s="6"/>
      <c r="I110" s="6"/>
      <c r="J110" s="6">
        <v>6</v>
      </c>
      <c r="K110" s="6">
        <v>-13.16</v>
      </c>
      <c r="L110" s="6">
        <f t="shared" si="13"/>
        <v>6.9183097091893504E-14</v>
      </c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s="14" customFormat="1" ht="14.25" customHeight="1" x14ac:dyDescent="0.25">
      <c r="A111" s="6" t="s">
        <v>27</v>
      </c>
      <c r="B111" s="6" t="s">
        <v>15</v>
      </c>
      <c r="C111" s="6" t="s">
        <v>28</v>
      </c>
      <c r="D111" s="12">
        <f t="shared" si="12"/>
        <v>99.893939000000003</v>
      </c>
      <c r="E111" s="6"/>
      <c r="F111" s="13"/>
      <c r="G111" s="6"/>
      <c r="H111" s="6"/>
      <c r="I111" s="6"/>
      <c r="J111" s="6">
        <v>0.106061</v>
      </c>
      <c r="K111" s="6">
        <v>-13.25</v>
      </c>
      <c r="L111" s="6">
        <f t="shared" si="13"/>
        <v>5.6234132519034836E-14</v>
      </c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s="14" customFormat="1" ht="14.25" customHeight="1" x14ac:dyDescent="0.25">
      <c r="A112" s="6" t="s">
        <v>27</v>
      </c>
      <c r="B112" s="6" t="s">
        <v>15</v>
      </c>
      <c r="C112" s="6" t="s">
        <v>28</v>
      </c>
      <c r="D112" s="12">
        <f t="shared" si="12"/>
        <v>99</v>
      </c>
      <c r="E112" s="6"/>
      <c r="F112" s="13"/>
      <c r="G112" s="6"/>
      <c r="H112" s="6"/>
      <c r="I112" s="6"/>
      <c r="J112" s="6">
        <v>1</v>
      </c>
      <c r="K112" s="6">
        <v>-13.29</v>
      </c>
      <c r="L112" s="6">
        <f t="shared" si="13"/>
        <v>5.1286138399136433E-14</v>
      </c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s="14" customFormat="1" ht="14.25" customHeight="1" x14ac:dyDescent="0.25">
      <c r="A113" s="6" t="s">
        <v>27</v>
      </c>
      <c r="B113" s="6" t="s">
        <v>15</v>
      </c>
      <c r="C113" s="6" t="s">
        <v>28</v>
      </c>
      <c r="D113" s="12">
        <f t="shared" si="12"/>
        <v>98</v>
      </c>
      <c r="E113" s="6"/>
      <c r="F113" s="13"/>
      <c r="G113" s="6"/>
      <c r="H113" s="6"/>
      <c r="I113" s="6"/>
      <c r="J113" s="6">
        <v>2</v>
      </c>
      <c r="K113" s="6">
        <v>-13.31</v>
      </c>
      <c r="L113" s="6">
        <f t="shared" si="13"/>
        <v>4.8977881936844408E-14</v>
      </c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s="14" customFormat="1" ht="14.25" customHeight="1" x14ac:dyDescent="0.25">
      <c r="A114" s="6" t="s">
        <v>27</v>
      </c>
      <c r="B114" s="6" t="s">
        <v>15</v>
      </c>
      <c r="C114" s="6" t="s">
        <v>28</v>
      </c>
      <c r="D114" s="12">
        <f t="shared" si="12"/>
        <v>96</v>
      </c>
      <c r="E114" s="6"/>
      <c r="F114" s="13"/>
      <c r="G114" s="6"/>
      <c r="H114" s="6"/>
      <c r="I114" s="6"/>
      <c r="J114" s="6">
        <v>4</v>
      </c>
      <c r="K114" s="6">
        <v>-13.34</v>
      </c>
      <c r="L114" s="6">
        <f t="shared" si="13"/>
        <v>4.5708818961487318E-14</v>
      </c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s="14" customFormat="1" ht="14.25" customHeight="1" x14ac:dyDescent="0.25">
      <c r="A115" s="6" t="s">
        <v>27</v>
      </c>
      <c r="B115" s="6" t="s">
        <v>15</v>
      </c>
      <c r="C115" s="6" t="s">
        <v>28</v>
      </c>
      <c r="D115" s="12">
        <f t="shared" si="12"/>
        <v>94.015150000000006</v>
      </c>
      <c r="E115" s="6"/>
      <c r="F115" s="13"/>
      <c r="G115" s="6"/>
      <c r="H115" s="6"/>
      <c r="I115" s="6"/>
      <c r="J115" s="6">
        <v>5.9848499999999998</v>
      </c>
      <c r="K115" s="6">
        <v>-13.37</v>
      </c>
      <c r="L115" s="6">
        <f t="shared" si="13"/>
        <v>4.2657951880159256E-14</v>
      </c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s="14" customFormat="1" ht="14.25" customHeight="1" x14ac:dyDescent="0.25">
      <c r="A116" s="6" t="s">
        <v>27</v>
      </c>
      <c r="B116" s="6" t="s">
        <v>15</v>
      </c>
      <c r="C116" s="6" t="s">
        <v>28</v>
      </c>
      <c r="D116" s="12">
        <f t="shared" si="12"/>
        <v>99.893939000000003</v>
      </c>
      <c r="E116" s="6"/>
      <c r="F116" s="13"/>
      <c r="G116" s="6"/>
      <c r="H116" s="6"/>
      <c r="I116" s="6"/>
      <c r="J116" s="6">
        <v>0.106061</v>
      </c>
      <c r="K116" s="6">
        <v>-13.73</v>
      </c>
      <c r="L116" s="6">
        <f t="shared" si="13"/>
        <v>1.8620871366628604E-14</v>
      </c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s="14" customFormat="1" ht="14.25" customHeight="1" x14ac:dyDescent="0.25">
      <c r="A117" s="6" t="s">
        <v>27</v>
      </c>
      <c r="B117" s="6" t="s">
        <v>15</v>
      </c>
      <c r="C117" s="6" t="s">
        <v>28</v>
      </c>
      <c r="D117" s="12">
        <f t="shared" si="12"/>
        <v>99</v>
      </c>
      <c r="E117" s="6"/>
      <c r="F117" s="13"/>
      <c r="G117" s="6"/>
      <c r="H117" s="6"/>
      <c r="I117" s="6"/>
      <c r="J117" s="6">
        <v>1</v>
      </c>
      <c r="K117" s="6">
        <v>-13.79</v>
      </c>
      <c r="L117" s="6">
        <f t="shared" si="13"/>
        <v>1.6218100973589306E-14</v>
      </c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s="14" customFormat="1" ht="14.25" customHeight="1" x14ac:dyDescent="0.25">
      <c r="A118" s="6" t="s">
        <v>27</v>
      </c>
      <c r="B118" s="6" t="s">
        <v>15</v>
      </c>
      <c r="C118" s="6" t="s">
        <v>28</v>
      </c>
      <c r="D118" s="12">
        <f t="shared" si="12"/>
        <v>98</v>
      </c>
      <c r="E118" s="6"/>
      <c r="F118" s="13"/>
      <c r="G118" s="6"/>
      <c r="H118" s="6"/>
      <c r="I118" s="6"/>
      <c r="J118" s="6">
        <v>2</v>
      </c>
      <c r="K118" s="6">
        <v>-13.82</v>
      </c>
      <c r="L118" s="6">
        <f t="shared" si="13"/>
        <v>1.5135612484362038E-14</v>
      </c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s="14" customFormat="1" ht="14.25" customHeight="1" x14ac:dyDescent="0.25">
      <c r="A119" s="6" t="s">
        <v>27</v>
      </c>
      <c r="B119" s="6" t="s">
        <v>15</v>
      </c>
      <c r="C119" s="6" t="s">
        <v>28</v>
      </c>
      <c r="D119" s="12">
        <f t="shared" si="12"/>
        <v>96</v>
      </c>
      <c r="E119" s="6"/>
      <c r="F119" s="13"/>
      <c r="G119" s="6"/>
      <c r="H119" s="6"/>
      <c r="I119" s="6"/>
      <c r="J119" s="6">
        <v>4</v>
      </c>
      <c r="K119" s="6">
        <v>-13.85</v>
      </c>
      <c r="L119" s="6">
        <f t="shared" si="13"/>
        <v>1.4125375446227505E-14</v>
      </c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s="14" customFormat="1" ht="14.25" customHeight="1" x14ac:dyDescent="0.25">
      <c r="A120" s="6" t="s">
        <v>27</v>
      </c>
      <c r="B120" s="6" t="s">
        <v>15</v>
      </c>
      <c r="C120" s="6" t="s">
        <v>28</v>
      </c>
      <c r="D120" s="12">
        <f t="shared" si="12"/>
        <v>94.015150000000006</v>
      </c>
      <c r="E120" s="6"/>
      <c r="F120" s="13"/>
      <c r="G120" s="6"/>
      <c r="H120" s="6"/>
      <c r="I120" s="6"/>
      <c r="J120" s="6">
        <v>5.9848499999999998</v>
      </c>
      <c r="K120" s="6">
        <v>-13.9</v>
      </c>
      <c r="L120" s="6">
        <f t="shared" si="13"/>
        <v>1.2589254117941644E-14</v>
      </c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s="14" customFormat="1" ht="14.25" customHeight="1" x14ac:dyDescent="0.25">
      <c r="A121" s="6" t="s">
        <v>27</v>
      </c>
      <c r="B121" s="6" t="s">
        <v>15</v>
      </c>
      <c r="C121" s="6" t="s">
        <v>28</v>
      </c>
      <c r="D121" s="12">
        <f t="shared" si="12"/>
        <v>99.893939000000003</v>
      </c>
      <c r="E121" s="6"/>
      <c r="F121" s="13"/>
      <c r="G121" s="6"/>
      <c r="H121" s="6"/>
      <c r="I121" s="6"/>
      <c r="J121" s="6">
        <v>0.106061</v>
      </c>
      <c r="K121" s="6">
        <v>-13.94</v>
      </c>
      <c r="L121" s="6">
        <f t="shared" si="13"/>
        <v>1.1481536214968808E-14</v>
      </c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s="14" customFormat="1" ht="14.25" customHeight="1" x14ac:dyDescent="0.25">
      <c r="A122" s="6" t="s">
        <v>27</v>
      </c>
      <c r="B122" s="6" t="s">
        <v>15</v>
      </c>
      <c r="C122" s="6" t="s">
        <v>28</v>
      </c>
      <c r="D122" s="12">
        <f t="shared" si="12"/>
        <v>99</v>
      </c>
      <c r="E122" s="6"/>
      <c r="F122" s="13"/>
      <c r="G122" s="6"/>
      <c r="H122" s="6"/>
      <c r="I122" s="6"/>
      <c r="J122" s="6">
        <v>1</v>
      </c>
      <c r="K122" s="6">
        <v>-14</v>
      </c>
      <c r="L122" s="6">
        <f t="shared" si="13"/>
        <v>1E-14</v>
      </c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s="14" customFormat="1" ht="14.25" customHeight="1" x14ac:dyDescent="0.25">
      <c r="A123" s="6" t="s">
        <v>27</v>
      </c>
      <c r="B123" s="6" t="s">
        <v>15</v>
      </c>
      <c r="C123" s="6" t="s">
        <v>28</v>
      </c>
      <c r="D123" s="12">
        <f t="shared" si="12"/>
        <v>98</v>
      </c>
      <c r="E123" s="6"/>
      <c r="F123" s="13"/>
      <c r="G123" s="6"/>
      <c r="H123" s="6"/>
      <c r="I123" s="6"/>
      <c r="J123" s="6">
        <v>2</v>
      </c>
      <c r="K123" s="6">
        <v>-14.03</v>
      </c>
      <c r="L123" s="6">
        <f t="shared" si="13"/>
        <v>9.3325430079699006E-15</v>
      </c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s="14" customFormat="1" ht="14.25" customHeight="1" x14ac:dyDescent="0.25">
      <c r="A124" s="6" t="s">
        <v>27</v>
      </c>
      <c r="B124" s="6" t="s">
        <v>15</v>
      </c>
      <c r="C124" s="6" t="s">
        <v>28</v>
      </c>
      <c r="D124" s="12">
        <f t="shared" si="12"/>
        <v>96</v>
      </c>
      <c r="E124" s="6"/>
      <c r="F124" s="13"/>
      <c r="G124" s="6"/>
      <c r="H124" s="6"/>
      <c r="I124" s="6"/>
      <c r="J124" s="6">
        <v>4</v>
      </c>
      <c r="K124" s="6">
        <v>-14.07</v>
      </c>
      <c r="L124" s="6">
        <f t="shared" si="13"/>
        <v>8.5113803820237586E-15</v>
      </c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s="14" customFormat="1" ht="14.25" customHeight="1" x14ac:dyDescent="0.25">
      <c r="A125" s="6" t="s">
        <v>27</v>
      </c>
      <c r="B125" s="6" t="s">
        <v>15</v>
      </c>
      <c r="C125" s="6" t="s">
        <v>28</v>
      </c>
      <c r="D125" s="12">
        <f t="shared" si="12"/>
        <v>94.015150000000006</v>
      </c>
      <c r="E125" s="6"/>
      <c r="F125" s="13"/>
      <c r="G125" s="6"/>
      <c r="H125" s="6"/>
      <c r="I125" s="6"/>
      <c r="J125" s="6">
        <v>5.9848499999999998</v>
      </c>
      <c r="K125" s="6">
        <v>-14.12</v>
      </c>
      <c r="L125" s="6">
        <f t="shared" si="13"/>
        <v>7.5857757502918367E-15</v>
      </c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s="14" customFormat="1" ht="14.25" customHeight="1" x14ac:dyDescent="0.25">
      <c r="A126" s="6" t="s">
        <v>27</v>
      </c>
      <c r="B126" s="6" t="s">
        <v>15</v>
      </c>
      <c r="C126" s="6" t="s">
        <v>28</v>
      </c>
      <c r="D126" s="12">
        <f t="shared" si="12"/>
        <v>99.893939000000003</v>
      </c>
      <c r="E126" s="6"/>
      <c r="F126" s="13"/>
      <c r="G126" s="6"/>
      <c r="H126" s="6"/>
      <c r="I126" s="6"/>
      <c r="J126" s="6">
        <v>0.106061</v>
      </c>
      <c r="K126" s="6">
        <v>-14.22</v>
      </c>
      <c r="L126" s="6">
        <f t="shared" si="13"/>
        <v>6.0255958607435399E-15</v>
      </c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s="14" customFormat="1" ht="14.25" customHeight="1" x14ac:dyDescent="0.25">
      <c r="A127" s="6" t="s">
        <v>27</v>
      </c>
      <c r="B127" s="6" t="s">
        <v>15</v>
      </c>
      <c r="C127" s="6" t="s">
        <v>28</v>
      </c>
      <c r="D127" s="12">
        <f t="shared" si="12"/>
        <v>99</v>
      </c>
      <c r="E127" s="6"/>
      <c r="F127" s="13"/>
      <c r="G127" s="6"/>
      <c r="H127" s="6"/>
      <c r="I127" s="6"/>
      <c r="J127" s="6">
        <v>1</v>
      </c>
      <c r="K127" s="6">
        <v>-14.29</v>
      </c>
      <c r="L127" s="6">
        <f t="shared" si="13"/>
        <v>5.1286138399136556E-15</v>
      </c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s="14" customFormat="1" ht="14.25" customHeight="1" x14ac:dyDescent="0.25">
      <c r="A128" s="6" t="s">
        <v>27</v>
      </c>
      <c r="B128" s="6" t="s">
        <v>15</v>
      </c>
      <c r="C128" s="6" t="s">
        <v>28</v>
      </c>
      <c r="D128" s="12">
        <f t="shared" si="12"/>
        <v>98</v>
      </c>
      <c r="E128" s="6"/>
      <c r="F128" s="13"/>
      <c r="G128" s="6"/>
      <c r="H128" s="6"/>
      <c r="I128" s="6"/>
      <c r="J128" s="6">
        <v>2</v>
      </c>
      <c r="K128" s="6">
        <v>-14.33</v>
      </c>
      <c r="L128" s="6">
        <f t="shared" si="13"/>
        <v>4.6773514128719577E-15</v>
      </c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s="14" customFormat="1" ht="14.25" customHeight="1" x14ac:dyDescent="0.25">
      <c r="A129" s="6" t="s">
        <v>27</v>
      </c>
      <c r="B129" s="6" t="s">
        <v>15</v>
      </c>
      <c r="C129" s="6" t="s">
        <v>28</v>
      </c>
      <c r="D129" s="12">
        <f t="shared" si="12"/>
        <v>96</v>
      </c>
      <c r="E129" s="6"/>
      <c r="F129" s="13"/>
      <c r="G129" s="6"/>
      <c r="H129" s="6"/>
      <c r="I129" s="6"/>
      <c r="J129" s="6">
        <v>4</v>
      </c>
      <c r="K129" s="6">
        <v>-14.37</v>
      </c>
      <c r="L129" s="6">
        <f t="shared" si="13"/>
        <v>4.2657951880159061E-15</v>
      </c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s="14" customFormat="1" ht="14.25" customHeight="1" x14ac:dyDescent="0.25">
      <c r="A130" s="6" t="s">
        <v>27</v>
      </c>
      <c r="B130" s="6" t="s">
        <v>15</v>
      </c>
      <c r="C130" s="6" t="s">
        <v>28</v>
      </c>
      <c r="D130" s="12">
        <f t="shared" si="12"/>
        <v>94.015150000000006</v>
      </c>
      <c r="E130" s="6"/>
      <c r="F130" s="13"/>
      <c r="G130" s="6"/>
      <c r="H130" s="6"/>
      <c r="I130" s="6"/>
      <c r="J130" s="6">
        <v>5.9848499999999998</v>
      </c>
      <c r="K130" s="6">
        <v>-14.44</v>
      </c>
      <c r="L130" s="6">
        <f t="shared" si="13"/>
        <v>3.6307805477009983E-15</v>
      </c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s="14" customFormat="1" ht="14.25" customHeight="1" x14ac:dyDescent="0.25">
      <c r="A131" s="6"/>
      <c r="B131" s="6"/>
      <c r="C131" s="6"/>
      <c r="D131" s="6"/>
      <c r="E131" s="6"/>
      <c r="F131" s="13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s="14" customFormat="1" ht="14.25" customHeight="1" x14ac:dyDescent="0.25">
      <c r="A132" s="6"/>
      <c r="B132" s="6"/>
      <c r="C132" s="6"/>
      <c r="D132" s="6"/>
      <c r="E132" s="6"/>
      <c r="F132" s="13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ht="14.25" customHeight="1" x14ac:dyDescent="0.25">
      <c r="A133" s="1"/>
      <c r="B133" s="1"/>
      <c r="C133" s="1"/>
      <c r="D133" s="1"/>
      <c r="E133" s="1"/>
      <c r="F133" s="7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4.25" customHeight="1" x14ac:dyDescent="0.25">
      <c r="A134" s="1"/>
      <c r="B134" s="1"/>
      <c r="C134" s="1"/>
      <c r="D134" s="1"/>
      <c r="E134" s="1"/>
      <c r="F134" s="7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4.25" customHeight="1" x14ac:dyDescent="0.25">
      <c r="A135" s="1"/>
      <c r="B135" s="1"/>
      <c r="C135" s="1"/>
      <c r="D135" s="1"/>
      <c r="E135" s="1"/>
      <c r="F135" s="7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4.25" customHeight="1" x14ac:dyDescent="0.25">
      <c r="A136" s="1"/>
      <c r="B136" s="1"/>
      <c r="C136" s="1"/>
      <c r="D136" s="1"/>
      <c r="E136" s="1"/>
      <c r="F136" s="7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4.25" customHeight="1" x14ac:dyDescent="0.25">
      <c r="A137" s="1"/>
      <c r="B137" s="1"/>
      <c r="C137" s="1"/>
      <c r="D137" s="1"/>
      <c r="E137" s="1"/>
      <c r="F137" s="7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4.25" customHeight="1" x14ac:dyDescent="0.25">
      <c r="A138" s="1"/>
      <c r="B138" s="1"/>
      <c r="C138" s="1"/>
      <c r="D138" s="1"/>
      <c r="E138" s="1"/>
      <c r="F138" s="7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4.25" customHeight="1" x14ac:dyDescent="0.25">
      <c r="A139" s="1"/>
      <c r="B139" s="1"/>
      <c r="C139" s="1"/>
      <c r="D139" s="1"/>
      <c r="E139" s="1"/>
      <c r="F139" s="7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4.25" customHeight="1" x14ac:dyDescent="0.25">
      <c r="A140" s="1"/>
      <c r="B140" s="1"/>
      <c r="C140" s="1"/>
      <c r="D140" s="1"/>
      <c r="E140" s="1"/>
      <c r="F140" s="7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4.25" customHeight="1" x14ac:dyDescent="0.25">
      <c r="A141" s="1"/>
      <c r="B141" s="1"/>
      <c r="C141" s="1"/>
      <c r="D141" s="1"/>
      <c r="E141" s="1"/>
      <c r="F141" s="7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4.25" customHeight="1" x14ac:dyDescent="0.25">
      <c r="A142" s="1"/>
      <c r="B142" s="1"/>
      <c r="C142" s="1"/>
      <c r="D142" s="1"/>
      <c r="E142" s="1"/>
      <c r="F142" s="7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4.25" customHeight="1" x14ac:dyDescent="0.25">
      <c r="A143" s="1"/>
      <c r="B143" s="1"/>
      <c r="C143" s="1"/>
      <c r="D143" s="1"/>
      <c r="E143" s="1"/>
      <c r="F143" s="7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4.25" customHeight="1" x14ac:dyDescent="0.25">
      <c r="A144" s="1"/>
      <c r="B144" s="1"/>
      <c r="C144" s="1"/>
      <c r="D144" s="1"/>
      <c r="E144" s="1"/>
      <c r="F144" s="7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4.25" customHeight="1" x14ac:dyDescent="0.25">
      <c r="A145" s="1"/>
      <c r="B145" s="1"/>
      <c r="C145" s="1"/>
      <c r="D145" s="1"/>
      <c r="E145" s="1"/>
      <c r="F145" s="7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4.25" customHeight="1" x14ac:dyDescent="0.25">
      <c r="A146" s="1"/>
      <c r="B146" s="1"/>
      <c r="C146" s="1"/>
      <c r="D146" s="1"/>
      <c r="E146" s="1"/>
      <c r="F146" s="7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4.25" customHeight="1" x14ac:dyDescent="0.25">
      <c r="A147" s="1"/>
      <c r="B147" s="1"/>
      <c r="C147" s="1"/>
      <c r="D147" s="1"/>
      <c r="E147" s="1"/>
      <c r="F147" s="7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4.25" customHeight="1" x14ac:dyDescent="0.25">
      <c r="A148" s="1"/>
      <c r="B148" s="1"/>
      <c r="C148" s="1"/>
      <c r="D148" s="1"/>
      <c r="E148" s="1"/>
      <c r="F148" s="7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4.25" customHeight="1" x14ac:dyDescent="0.25">
      <c r="A149" s="1"/>
      <c r="B149" s="1"/>
      <c r="C149" s="1"/>
      <c r="D149" s="1"/>
      <c r="E149" s="1"/>
      <c r="F149" s="7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4.25" customHeight="1" x14ac:dyDescent="0.25">
      <c r="A150" s="1"/>
      <c r="B150" s="1"/>
      <c r="C150" s="1"/>
      <c r="D150" s="1"/>
      <c r="E150" s="1"/>
      <c r="F150" s="7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4.25" customHeight="1" x14ac:dyDescent="0.25">
      <c r="A151" s="1"/>
      <c r="B151" s="1"/>
      <c r="C151" s="1"/>
      <c r="D151" s="1"/>
      <c r="E151" s="1"/>
      <c r="F151" s="7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4.25" customHeight="1" x14ac:dyDescent="0.25">
      <c r="A152" s="1"/>
      <c r="B152" s="1"/>
      <c r="C152" s="1"/>
      <c r="D152" s="1"/>
      <c r="E152" s="1"/>
      <c r="F152" s="7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4.25" customHeight="1" x14ac:dyDescent="0.25">
      <c r="A153" s="1"/>
      <c r="B153" s="1"/>
      <c r="C153" s="1"/>
      <c r="D153" s="1"/>
      <c r="E153" s="1"/>
      <c r="F153" s="7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4.25" customHeight="1" x14ac:dyDescent="0.25">
      <c r="A154" s="1"/>
      <c r="B154" s="1"/>
      <c r="C154" s="1"/>
      <c r="D154" s="1"/>
      <c r="E154" s="1"/>
      <c r="F154" s="7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4.25" customHeight="1" x14ac:dyDescent="0.25">
      <c r="A155" s="1"/>
      <c r="B155" s="1"/>
      <c r="C155" s="1"/>
      <c r="D155" s="1"/>
      <c r="E155" s="1"/>
      <c r="F155" s="7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4.25" customHeight="1" x14ac:dyDescent="0.25">
      <c r="A156" s="1"/>
      <c r="B156" s="1"/>
      <c r="C156" s="1"/>
      <c r="D156" s="1"/>
      <c r="E156" s="1"/>
      <c r="F156" s="7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4.25" customHeight="1" x14ac:dyDescent="0.25">
      <c r="A157" s="1"/>
      <c r="B157" s="1"/>
      <c r="C157" s="1"/>
      <c r="D157" s="1"/>
      <c r="E157" s="1"/>
      <c r="F157" s="7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4.25" customHeight="1" x14ac:dyDescent="0.25">
      <c r="A158" s="1"/>
      <c r="B158" s="1"/>
      <c r="C158" s="1"/>
      <c r="D158" s="1"/>
      <c r="E158" s="1"/>
      <c r="F158" s="7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4.25" customHeight="1" x14ac:dyDescent="0.25">
      <c r="A159" s="1"/>
      <c r="B159" s="1"/>
      <c r="C159" s="1"/>
      <c r="D159" s="1"/>
      <c r="E159" s="1"/>
      <c r="F159" s="7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4.25" customHeight="1" x14ac:dyDescent="0.25">
      <c r="A160" s="1"/>
      <c r="B160" s="1"/>
      <c r="C160" s="1"/>
      <c r="D160" s="1"/>
      <c r="E160" s="1"/>
      <c r="F160" s="7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4.25" customHeight="1" x14ac:dyDescent="0.25">
      <c r="A161" s="1"/>
      <c r="B161" s="1"/>
      <c r="C161" s="1"/>
      <c r="D161" s="1"/>
      <c r="E161" s="1"/>
      <c r="F161" s="7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4.25" customHeight="1" x14ac:dyDescent="0.25">
      <c r="A162" s="1"/>
      <c r="B162" s="1"/>
      <c r="C162" s="1"/>
      <c r="D162" s="1"/>
      <c r="E162" s="1"/>
      <c r="F162" s="7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4.25" customHeight="1" x14ac:dyDescent="0.25">
      <c r="A163" s="1"/>
      <c r="B163" s="1"/>
      <c r="C163" s="1"/>
      <c r="D163" s="1"/>
      <c r="E163" s="1"/>
      <c r="F163" s="7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4.25" customHeight="1" x14ac:dyDescent="0.25">
      <c r="A164" s="1"/>
      <c r="B164" s="1"/>
      <c r="C164" s="1"/>
      <c r="D164" s="1"/>
      <c r="E164" s="1"/>
      <c r="F164" s="7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4.25" customHeight="1" x14ac:dyDescent="0.25">
      <c r="A165" s="1"/>
      <c r="B165" s="1"/>
      <c r="C165" s="1"/>
      <c r="D165" s="1"/>
      <c r="E165" s="1"/>
      <c r="F165" s="7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4.25" customHeight="1" x14ac:dyDescent="0.25">
      <c r="A166" s="1"/>
      <c r="B166" s="1"/>
      <c r="C166" s="1"/>
      <c r="D166" s="1"/>
      <c r="E166" s="1"/>
      <c r="F166" s="7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4.25" customHeight="1" x14ac:dyDescent="0.25">
      <c r="A167" s="1"/>
      <c r="B167" s="1"/>
      <c r="C167" s="1"/>
      <c r="D167" s="1"/>
      <c r="E167" s="1"/>
      <c r="F167" s="7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4.25" customHeight="1" x14ac:dyDescent="0.25">
      <c r="A168" s="1"/>
      <c r="B168" s="1"/>
      <c r="C168" s="1"/>
      <c r="D168" s="1"/>
      <c r="E168" s="1"/>
      <c r="F168" s="7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4.25" customHeight="1" x14ac:dyDescent="0.25">
      <c r="A169" s="1"/>
      <c r="B169" s="1"/>
      <c r="C169" s="1"/>
      <c r="D169" s="1"/>
      <c r="E169" s="1"/>
      <c r="F169" s="7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4.25" customHeight="1" x14ac:dyDescent="0.25">
      <c r="A170" s="1"/>
      <c r="B170" s="1"/>
      <c r="C170" s="1"/>
      <c r="D170" s="1"/>
      <c r="E170" s="1"/>
      <c r="F170" s="7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4.25" customHeight="1" x14ac:dyDescent="0.25">
      <c r="A171" s="1"/>
      <c r="B171" s="1"/>
      <c r="C171" s="1"/>
      <c r="D171" s="1"/>
      <c r="E171" s="1"/>
      <c r="F171" s="7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4.25" customHeight="1" x14ac:dyDescent="0.25">
      <c r="A172" s="1"/>
      <c r="B172" s="1"/>
      <c r="C172" s="1"/>
      <c r="D172" s="1"/>
      <c r="E172" s="1"/>
      <c r="F172" s="7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4.25" customHeight="1" x14ac:dyDescent="0.25">
      <c r="A173" s="1"/>
      <c r="B173" s="1"/>
      <c r="C173" s="1"/>
      <c r="D173" s="1"/>
      <c r="E173" s="1"/>
      <c r="F173" s="7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4.25" customHeight="1" x14ac:dyDescent="0.25">
      <c r="A174" s="1"/>
      <c r="B174" s="1"/>
      <c r="C174" s="1"/>
      <c r="D174" s="1"/>
      <c r="E174" s="1"/>
      <c r="F174" s="7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4.25" customHeight="1" x14ac:dyDescent="0.25">
      <c r="A175" s="1"/>
      <c r="B175" s="1"/>
      <c r="C175" s="1"/>
      <c r="D175" s="1"/>
      <c r="E175" s="1"/>
      <c r="F175" s="7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4.25" customHeight="1" x14ac:dyDescent="0.25">
      <c r="A176" s="1"/>
      <c r="B176" s="1"/>
      <c r="C176" s="1"/>
      <c r="D176" s="1"/>
      <c r="E176" s="1"/>
      <c r="F176" s="7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4.25" customHeight="1" x14ac:dyDescent="0.25">
      <c r="A177" s="1"/>
      <c r="B177" s="1"/>
      <c r="C177" s="1"/>
      <c r="D177" s="1"/>
      <c r="E177" s="1"/>
      <c r="F177" s="7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4.25" customHeight="1" x14ac:dyDescent="0.25">
      <c r="A178" s="1"/>
      <c r="B178" s="1"/>
      <c r="C178" s="1"/>
      <c r="D178" s="1"/>
      <c r="E178" s="1"/>
      <c r="F178" s="7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4.25" customHeight="1" x14ac:dyDescent="0.25">
      <c r="A179" s="1"/>
      <c r="B179" s="1"/>
      <c r="C179" s="1"/>
      <c r="D179" s="1"/>
      <c r="E179" s="1"/>
      <c r="F179" s="7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4.25" customHeight="1" x14ac:dyDescent="0.25">
      <c r="A180" s="1"/>
      <c r="B180" s="1"/>
      <c r="C180" s="1"/>
      <c r="D180" s="1"/>
      <c r="E180" s="1"/>
      <c r="F180" s="7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4.25" customHeight="1" x14ac:dyDescent="0.25">
      <c r="A181" s="1"/>
      <c r="B181" s="1"/>
      <c r="C181" s="1"/>
      <c r="D181" s="1"/>
      <c r="E181" s="1"/>
      <c r="F181" s="7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4.25" customHeight="1" x14ac:dyDescent="0.25">
      <c r="A182" s="1"/>
      <c r="B182" s="1"/>
      <c r="C182" s="1"/>
      <c r="D182" s="1"/>
      <c r="E182" s="1"/>
      <c r="F182" s="7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4.25" customHeight="1" x14ac:dyDescent="0.25">
      <c r="A183" s="1"/>
      <c r="B183" s="1"/>
      <c r="C183" s="1"/>
      <c r="D183" s="1"/>
      <c r="E183" s="1"/>
      <c r="F183" s="7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4.25" customHeight="1" x14ac:dyDescent="0.25">
      <c r="A184" s="1"/>
      <c r="B184" s="1"/>
      <c r="C184" s="1"/>
      <c r="D184" s="1"/>
      <c r="E184" s="1"/>
      <c r="F184" s="7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4.25" customHeight="1" x14ac:dyDescent="0.25">
      <c r="A185" s="1"/>
      <c r="B185" s="1"/>
      <c r="C185" s="1"/>
      <c r="D185" s="1"/>
      <c r="E185" s="1"/>
      <c r="F185" s="7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4.25" customHeight="1" x14ac:dyDescent="0.25">
      <c r="A186" s="1"/>
      <c r="B186" s="1"/>
      <c r="C186" s="1"/>
      <c r="D186" s="1"/>
      <c r="E186" s="1"/>
      <c r="F186" s="7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4.25" customHeight="1" x14ac:dyDescent="0.25">
      <c r="A187" s="1"/>
      <c r="B187" s="1"/>
      <c r="C187" s="1"/>
      <c r="D187" s="1"/>
      <c r="E187" s="1"/>
      <c r="F187" s="7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4.25" customHeight="1" x14ac:dyDescent="0.25">
      <c r="A188" s="1"/>
      <c r="B188" s="1"/>
      <c r="C188" s="1"/>
      <c r="D188" s="1"/>
      <c r="E188" s="1"/>
      <c r="F188" s="7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4.25" customHeight="1" x14ac:dyDescent="0.25">
      <c r="A189" s="1"/>
      <c r="B189" s="1"/>
      <c r="C189" s="1"/>
      <c r="D189" s="1"/>
      <c r="E189" s="1"/>
      <c r="F189" s="7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4.25" customHeight="1" x14ac:dyDescent="0.25">
      <c r="A190" s="1"/>
      <c r="B190" s="1"/>
      <c r="C190" s="1"/>
      <c r="D190" s="1"/>
      <c r="E190" s="1"/>
      <c r="F190" s="7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4.25" customHeight="1" x14ac:dyDescent="0.25">
      <c r="A191" s="1"/>
      <c r="B191" s="1"/>
      <c r="C191" s="1"/>
      <c r="D191" s="1"/>
      <c r="E191" s="1"/>
      <c r="F191" s="7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4.25" customHeight="1" x14ac:dyDescent="0.25">
      <c r="A192" s="1"/>
      <c r="B192" s="1"/>
      <c r="C192" s="1"/>
      <c r="D192" s="1"/>
      <c r="E192" s="1"/>
      <c r="F192" s="7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4.25" customHeight="1" x14ac:dyDescent="0.25">
      <c r="A193" s="1"/>
      <c r="B193" s="1"/>
      <c r="C193" s="1"/>
      <c r="D193" s="1"/>
      <c r="E193" s="1"/>
      <c r="F193" s="7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4.25" customHeight="1" x14ac:dyDescent="0.25">
      <c r="A194" s="1"/>
      <c r="B194" s="1"/>
      <c r="C194" s="1"/>
      <c r="D194" s="1"/>
      <c r="E194" s="1"/>
      <c r="F194" s="7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4.25" customHeight="1" x14ac:dyDescent="0.25">
      <c r="A195" s="1"/>
      <c r="B195" s="1"/>
      <c r="C195" s="1"/>
      <c r="D195" s="1"/>
      <c r="E195" s="1"/>
      <c r="F195" s="7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14.25" customHeight="1" x14ac:dyDescent="0.25">
      <c r="A196" s="1"/>
      <c r="B196" s="1"/>
      <c r="C196" s="1"/>
      <c r="D196" s="1"/>
      <c r="E196" s="1"/>
      <c r="F196" s="7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14.25" customHeight="1" x14ac:dyDescent="0.25">
      <c r="A197" s="1"/>
      <c r="B197" s="1"/>
      <c r="C197" s="1"/>
      <c r="D197" s="1"/>
      <c r="E197" s="1"/>
      <c r="F197" s="7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14.25" customHeight="1" x14ac:dyDescent="0.25">
      <c r="A198" s="1"/>
      <c r="B198" s="1"/>
      <c r="C198" s="1"/>
      <c r="D198" s="1"/>
      <c r="E198" s="1"/>
      <c r="F198" s="7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14.25" customHeight="1" x14ac:dyDescent="0.25">
      <c r="A199" s="1"/>
      <c r="B199" s="1"/>
      <c r="C199" s="1"/>
      <c r="D199" s="1"/>
      <c r="E199" s="1"/>
      <c r="F199" s="7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14.25" customHeight="1" x14ac:dyDescent="0.25">
      <c r="A200" s="1"/>
      <c r="B200" s="1"/>
      <c r="C200" s="1"/>
      <c r="D200" s="1"/>
      <c r="E200" s="1"/>
      <c r="F200" s="7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14.25" customHeight="1" x14ac:dyDescent="0.25">
      <c r="A201" s="1"/>
      <c r="B201" s="1"/>
      <c r="C201" s="1"/>
      <c r="D201" s="1"/>
      <c r="E201" s="1"/>
      <c r="F201" s="7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spans="1:22" ht="14.25" customHeight="1" x14ac:dyDescent="0.25">
      <c r="A202" s="1"/>
      <c r="B202" s="1"/>
      <c r="C202" s="1"/>
      <c r="D202" s="1"/>
      <c r="E202" s="1"/>
      <c r="F202" s="7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spans="1:22" ht="14.25" customHeight="1" x14ac:dyDescent="0.25">
      <c r="A203" s="1"/>
      <c r="B203" s="1"/>
      <c r="C203" s="1"/>
      <c r="D203" s="1"/>
      <c r="E203" s="1"/>
      <c r="F203" s="7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spans="1:22" ht="14.25" customHeight="1" x14ac:dyDescent="0.25">
      <c r="A204" s="1"/>
      <c r="B204" s="1"/>
      <c r="C204" s="1"/>
      <c r="D204" s="1"/>
      <c r="E204" s="1"/>
      <c r="F204" s="7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spans="1:22" ht="14.25" customHeight="1" x14ac:dyDescent="0.25">
      <c r="A205" s="1"/>
      <c r="B205" s="1"/>
      <c r="C205" s="1"/>
      <c r="D205" s="1"/>
      <c r="E205" s="1"/>
      <c r="F205" s="7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spans="1:22" ht="14.25" customHeight="1" x14ac:dyDescent="0.25">
      <c r="A206" s="1"/>
      <c r="B206" s="1"/>
      <c r="C206" s="1"/>
      <c r="D206" s="1"/>
      <c r="E206" s="1"/>
      <c r="F206" s="7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spans="1:22" ht="14.25" customHeight="1" x14ac:dyDescent="0.25">
      <c r="A207" s="1"/>
      <c r="B207" s="1"/>
      <c r="C207" s="1"/>
      <c r="D207" s="1"/>
      <c r="E207" s="1"/>
      <c r="F207" s="7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spans="1:22" ht="14.25" customHeight="1" x14ac:dyDescent="0.25">
      <c r="A208" s="1"/>
      <c r="B208" s="1"/>
      <c r="C208" s="1"/>
      <c r="D208" s="1"/>
      <c r="E208" s="1"/>
      <c r="F208" s="7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spans="1:22" ht="14.25" customHeight="1" x14ac:dyDescent="0.25">
      <c r="A209" s="1"/>
      <c r="B209" s="1"/>
      <c r="C209" s="1"/>
      <c r="D209" s="1"/>
      <c r="E209" s="1"/>
      <c r="F209" s="7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spans="1:22" ht="14.25" customHeight="1" x14ac:dyDescent="0.25">
      <c r="A210" s="1"/>
      <c r="B210" s="1"/>
      <c r="C210" s="1"/>
      <c r="D210" s="1"/>
      <c r="E210" s="1"/>
      <c r="F210" s="7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spans="1:22" ht="14.25" customHeight="1" x14ac:dyDescent="0.25">
      <c r="A211" s="1"/>
      <c r="B211" s="1"/>
      <c r="C211" s="1"/>
      <c r="D211" s="1"/>
      <c r="E211" s="1"/>
      <c r="F211" s="7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spans="1:22" ht="14.25" customHeight="1" x14ac:dyDescent="0.25">
      <c r="A212" s="1"/>
      <c r="B212" s="1"/>
      <c r="C212" s="1"/>
      <c r="D212" s="1"/>
      <c r="E212" s="1"/>
      <c r="F212" s="7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spans="1:22" ht="14.25" customHeight="1" x14ac:dyDescent="0.25">
      <c r="A213" s="1"/>
      <c r="B213" s="1"/>
      <c r="C213" s="1"/>
      <c r="D213" s="1"/>
      <c r="E213" s="1"/>
      <c r="F213" s="7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spans="1:22" ht="14.25" customHeight="1" x14ac:dyDescent="0.25">
      <c r="A214" s="1"/>
      <c r="B214" s="1"/>
      <c r="C214" s="1"/>
      <c r="D214" s="1"/>
      <c r="E214" s="1"/>
      <c r="F214" s="7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spans="1:22" ht="14.25" customHeight="1" x14ac:dyDescent="0.25">
      <c r="A215" s="1"/>
      <c r="B215" s="1"/>
      <c r="C215" s="1"/>
      <c r="D215" s="1"/>
      <c r="E215" s="1"/>
      <c r="F215" s="7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spans="1:22" ht="14.25" customHeight="1" x14ac:dyDescent="0.25">
      <c r="A216" s="1"/>
      <c r="B216" s="1"/>
      <c r="C216" s="1"/>
      <c r="D216" s="1"/>
      <c r="E216" s="1"/>
      <c r="F216" s="7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spans="1:22" ht="14.25" customHeight="1" x14ac:dyDescent="0.25">
      <c r="A217" s="1"/>
      <c r="B217" s="1"/>
      <c r="C217" s="1"/>
      <c r="D217" s="1"/>
      <c r="E217" s="1"/>
      <c r="F217" s="7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spans="1:22" ht="14.25" customHeight="1" x14ac:dyDescent="0.25">
      <c r="A218" s="1"/>
      <c r="B218" s="1"/>
      <c r="C218" s="1"/>
      <c r="D218" s="1"/>
      <c r="E218" s="1"/>
      <c r="F218" s="7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spans="1:22" ht="14.25" customHeight="1" x14ac:dyDescent="0.25">
      <c r="A219" s="1"/>
      <c r="B219" s="1"/>
      <c r="C219" s="1"/>
      <c r="D219" s="1"/>
      <c r="E219" s="1"/>
      <c r="F219" s="7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spans="1:22" ht="14.25" customHeight="1" x14ac:dyDescent="0.25">
      <c r="A220" s="1"/>
      <c r="B220" s="1"/>
      <c r="C220" s="1"/>
      <c r="D220" s="1"/>
      <c r="E220" s="1"/>
      <c r="F220" s="7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spans="1:22" ht="14.25" customHeight="1" x14ac:dyDescent="0.25">
      <c r="A221" s="1"/>
      <c r="B221" s="1"/>
      <c r="C221" s="1"/>
      <c r="D221" s="1"/>
      <c r="E221" s="1"/>
      <c r="F221" s="7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spans="1:22" ht="14.25" customHeight="1" x14ac:dyDescent="0.25">
      <c r="A222" s="1"/>
      <c r="B222" s="1"/>
      <c r="C222" s="1"/>
      <c r="D222" s="1"/>
      <c r="E222" s="1"/>
      <c r="F222" s="7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spans="1:22" ht="14.25" customHeight="1" x14ac:dyDescent="0.25">
      <c r="A223" s="1"/>
      <c r="B223" s="1"/>
      <c r="C223" s="1"/>
      <c r="D223" s="1"/>
      <c r="E223" s="1"/>
      <c r="F223" s="7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spans="1:22" ht="14.25" customHeight="1" x14ac:dyDescent="0.25">
      <c r="A224" s="1"/>
      <c r="B224" s="1"/>
      <c r="C224" s="1"/>
      <c r="D224" s="1"/>
      <c r="E224" s="1"/>
      <c r="F224" s="7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spans="1:22" ht="14.25" customHeight="1" x14ac:dyDescent="0.25">
      <c r="A225" s="1"/>
      <c r="B225" s="1"/>
      <c r="C225" s="1"/>
      <c r="D225" s="1"/>
      <c r="E225" s="1"/>
      <c r="F225" s="7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spans="1:22" ht="14.25" customHeight="1" x14ac:dyDescent="0.25">
      <c r="A226" s="1"/>
      <c r="B226" s="1"/>
      <c r="C226" s="1"/>
      <c r="D226" s="1"/>
      <c r="E226" s="1"/>
      <c r="F226" s="7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spans="1:22" ht="14.25" customHeight="1" x14ac:dyDescent="0.25">
      <c r="A227" s="1"/>
      <c r="B227" s="1"/>
      <c r="C227" s="1"/>
      <c r="D227" s="1"/>
      <c r="E227" s="1"/>
      <c r="F227" s="7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spans="1:22" ht="14.25" customHeight="1" x14ac:dyDescent="0.25">
      <c r="A228" s="1"/>
      <c r="B228" s="1"/>
      <c r="C228" s="1"/>
      <c r="D228" s="1"/>
      <c r="E228" s="1"/>
      <c r="F228" s="7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spans="1:22" ht="14.25" customHeight="1" x14ac:dyDescent="0.25">
      <c r="A229" s="1"/>
      <c r="B229" s="1"/>
      <c r="C229" s="1"/>
      <c r="D229" s="1"/>
      <c r="E229" s="1"/>
      <c r="F229" s="7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spans="1:22" ht="14.25" customHeight="1" x14ac:dyDescent="0.25">
      <c r="A230" s="1"/>
      <c r="B230" s="1"/>
      <c r="C230" s="1"/>
      <c r="D230" s="1"/>
      <c r="E230" s="1"/>
      <c r="F230" s="7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spans="1:22" ht="14.25" customHeight="1" x14ac:dyDescent="0.25">
      <c r="A231" s="1"/>
      <c r="B231" s="1"/>
      <c r="C231" s="1"/>
      <c r="D231" s="1"/>
      <c r="E231" s="1"/>
      <c r="F231" s="7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spans="1:22" ht="14.25" customHeight="1" x14ac:dyDescent="0.25">
      <c r="A232" s="1"/>
      <c r="B232" s="1"/>
      <c r="C232" s="1"/>
      <c r="D232" s="1"/>
      <c r="E232" s="1"/>
      <c r="F232" s="7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spans="1:22" ht="14.25" customHeight="1" x14ac:dyDescent="0.25">
      <c r="A233" s="1"/>
      <c r="B233" s="1"/>
      <c r="C233" s="1"/>
      <c r="D233" s="1"/>
      <c r="E233" s="1"/>
      <c r="F233" s="7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spans="1:22" ht="14.25" customHeight="1" x14ac:dyDescent="0.25">
      <c r="A234" s="1"/>
      <c r="B234" s="1"/>
      <c r="C234" s="1"/>
      <c r="D234" s="1"/>
      <c r="E234" s="1"/>
      <c r="F234" s="7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spans="1:22" ht="14.25" customHeight="1" x14ac:dyDescent="0.25">
      <c r="A235" s="1"/>
      <c r="B235" s="1"/>
      <c r="C235" s="1"/>
      <c r="D235" s="1"/>
      <c r="E235" s="1"/>
      <c r="F235" s="7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spans="1:22" ht="14.25" customHeight="1" x14ac:dyDescent="0.25">
      <c r="A236" s="1"/>
      <c r="B236" s="1"/>
      <c r="C236" s="1"/>
      <c r="D236" s="1"/>
      <c r="E236" s="1"/>
      <c r="F236" s="7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spans="1:22" ht="14.25" customHeight="1" x14ac:dyDescent="0.25">
      <c r="A237" s="1"/>
      <c r="B237" s="1"/>
      <c r="C237" s="1"/>
      <c r="D237" s="1"/>
      <c r="E237" s="1"/>
      <c r="F237" s="7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spans="1:22" ht="14.25" customHeight="1" x14ac:dyDescent="0.25">
      <c r="A238" s="1"/>
      <c r="B238" s="1"/>
      <c r="C238" s="1"/>
      <c r="D238" s="1"/>
      <c r="E238" s="1"/>
      <c r="F238" s="7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spans="1:22" ht="14.25" customHeight="1" x14ac:dyDescent="0.25">
      <c r="A239" s="1"/>
      <c r="B239" s="1"/>
      <c r="C239" s="1"/>
      <c r="D239" s="1"/>
      <c r="E239" s="1"/>
      <c r="F239" s="7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spans="1:22" ht="14.25" customHeight="1" x14ac:dyDescent="0.25">
      <c r="A240" s="1"/>
      <c r="B240" s="1"/>
      <c r="C240" s="1"/>
      <c r="D240" s="1"/>
      <c r="E240" s="1"/>
      <c r="F240" s="7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spans="1:22" ht="14.25" customHeight="1" x14ac:dyDescent="0.25">
      <c r="A241" s="1"/>
      <c r="B241" s="1"/>
      <c r="C241" s="1"/>
      <c r="D241" s="1"/>
      <c r="E241" s="1"/>
      <c r="F241" s="7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spans="1:22" ht="14.25" customHeight="1" x14ac:dyDescent="0.25">
      <c r="A242" s="1"/>
      <c r="B242" s="1"/>
      <c r="C242" s="1"/>
      <c r="D242" s="1"/>
      <c r="E242" s="1"/>
      <c r="F242" s="7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spans="1:22" ht="14.25" customHeight="1" x14ac:dyDescent="0.25">
      <c r="A243" s="1"/>
      <c r="B243" s="1"/>
      <c r="C243" s="1"/>
      <c r="D243" s="1"/>
      <c r="E243" s="1"/>
      <c r="F243" s="7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spans="1:22" ht="14.25" customHeight="1" x14ac:dyDescent="0.25">
      <c r="A244" s="1"/>
      <c r="B244" s="1"/>
      <c r="C244" s="1"/>
      <c r="D244" s="1"/>
      <c r="E244" s="1"/>
      <c r="F244" s="7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spans="1:22" ht="14.25" customHeight="1" x14ac:dyDescent="0.25">
      <c r="A245" s="1"/>
      <c r="B245" s="1"/>
      <c r="C245" s="1"/>
      <c r="D245" s="1"/>
      <c r="E245" s="1"/>
      <c r="F245" s="7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spans="1:22" ht="14.25" customHeight="1" x14ac:dyDescent="0.25">
      <c r="A246" s="1"/>
      <c r="B246" s="1"/>
      <c r="C246" s="1"/>
      <c r="D246" s="1"/>
      <c r="E246" s="1"/>
      <c r="F246" s="7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spans="1:22" ht="14.25" customHeight="1" x14ac:dyDescent="0.25">
      <c r="A247" s="1"/>
      <c r="B247" s="1"/>
      <c r="C247" s="1"/>
      <c r="D247" s="1"/>
      <c r="E247" s="1"/>
      <c r="F247" s="7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spans="1:22" ht="14.25" customHeight="1" x14ac:dyDescent="0.25">
      <c r="A248" s="1"/>
      <c r="B248" s="1"/>
      <c r="C248" s="1"/>
      <c r="D248" s="1"/>
      <c r="E248" s="1"/>
      <c r="F248" s="7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spans="1:22" ht="14.25" customHeight="1" x14ac:dyDescent="0.25">
      <c r="A249" s="1"/>
      <c r="B249" s="1"/>
      <c r="C249" s="1"/>
      <c r="D249" s="1"/>
      <c r="E249" s="1"/>
      <c r="F249" s="7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spans="1:22" ht="14.25" customHeight="1" x14ac:dyDescent="0.25">
      <c r="A250" s="1"/>
      <c r="B250" s="1"/>
      <c r="C250" s="1"/>
      <c r="D250" s="1"/>
      <c r="E250" s="1"/>
      <c r="F250" s="7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spans="1:22" ht="14.25" customHeight="1" x14ac:dyDescent="0.25">
      <c r="A251" s="1"/>
      <c r="B251" s="1"/>
      <c r="C251" s="1"/>
      <c r="D251" s="1"/>
      <c r="E251" s="1"/>
      <c r="F251" s="7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spans="1:22" ht="14.25" customHeight="1" x14ac:dyDescent="0.25">
      <c r="A252" s="1"/>
      <c r="B252" s="1"/>
      <c r="C252" s="1"/>
      <c r="D252" s="1"/>
      <c r="E252" s="1"/>
      <c r="F252" s="7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spans="1:22" ht="14.25" customHeight="1" x14ac:dyDescent="0.25">
      <c r="A253" s="1"/>
      <c r="B253" s="1"/>
      <c r="C253" s="1"/>
      <c r="D253" s="1"/>
      <c r="E253" s="1"/>
      <c r="F253" s="7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spans="1:22" ht="14.25" customHeight="1" x14ac:dyDescent="0.25">
      <c r="A254" s="1"/>
      <c r="B254" s="1"/>
      <c r="C254" s="1"/>
      <c r="D254" s="1"/>
      <c r="E254" s="1"/>
      <c r="F254" s="7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spans="1:22" ht="14.25" customHeight="1" x14ac:dyDescent="0.25">
      <c r="A255" s="1"/>
      <c r="B255" s="1"/>
      <c r="C255" s="1"/>
      <c r="D255" s="1"/>
      <c r="E255" s="1"/>
      <c r="F255" s="7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spans="1:22" ht="14.25" customHeight="1" x14ac:dyDescent="0.25">
      <c r="A256" s="1"/>
      <c r="B256" s="1"/>
      <c r="C256" s="1"/>
      <c r="D256" s="1"/>
      <c r="E256" s="1"/>
      <c r="F256" s="7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spans="1:22" ht="14.25" customHeight="1" x14ac:dyDescent="0.25">
      <c r="A257" s="1"/>
      <c r="B257" s="1"/>
      <c r="C257" s="1"/>
      <c r="D257" s="1"/>
      <c r="E257" s="1"/>
      <c r="F257" s="7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spans="1:22" ht="14.25" customHeight="1" x14ac:dyDescent="0.25">
      <c r="A258" s="1"/>
      <c r="B258" s="1"/>
      <c r="C258" s="1"/>
      <c r="D258" s="1"/>
      <c r="E258" s="1"/>
      <c r="F258" s="7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spans="1:22" ht="14.25" customHeight="1" x14ac:dyDescent="0.25">
      <c r="A259" s="1"/>
      <c r="B259" s="1"/>
      <c r="C259" s="1"/>
      <c r="D259" s="1"/>
      <c r="E259" s="1"/>
      <c r="F259" s="7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spans="1:22" ht="14.25" customHeight="1" x14ac:dyDescent="0.25">
      <c r="A260" s="1"/>
      <c r="B260" s="1"/>
      <c r="C260" s="1"/>
      <c r="D260" s="1"/>
      <c r="E260" s="1"/>
      <c r="F260" s="7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spans="1:22" ht="14.25" customHeight="1" x14ac:dyDescent="0.25">
      <c r="A261" s="1"/>
      <c r="B261" s="1"/>
      <c r="C261" s="1"/>
      <c r="D261" s="1"/>
      <c r="E261" s="1"/>
      <c r="F261" s="7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spans="1:22" ht="14.25" customHeight="1" x14ac:dyDescent="0.25">
      <c r="A262" s="1"/>
      <c r="B262" s="1"/>
      <c r="C262" s="1"/>
      <c r="D262" s="1"/>
      <c r="E262" s="1"/>
      <c r="F262" s="7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spans="1:22" ht="14.25" customHeight="1" x14ac:dyDescent="0.25">
      <c r="A263" s="1"/>
      <c r="B263" s="1"/>
      <c r="C263" s="1"/>
      <c r="D263" s="1"/>
      <c r="E263" s="1"/>
      <c r="F263" s="7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spans="1:22" ht="14.25" customHeight="1" x14ac:dyDescent="0.25">
      <c r="A264" s="1"/>
      <c r="B264" s="1"/>
      <c r="C264" s="1"/>
      <c r="D264" s="1"/>
      <c r="E264" s="1"/>
      <c r="F264" s="7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spans="1:22" ht="14.25" customHeight="1" x14ac:dyDescent="0.25">
      <c r="A265" s="1"/>
      <c r="B265" s="1"/>
      <c r="C265" s="1"/>
      <c r="D265" s="1"/>
      <c r="E265" s="1"/>
      <c r="F265" s="7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spans="1:22" ht="14.25" customHeight="1" x14ac:dyDescent="0.25">
      <c r="A266" s="1"/>
      <c r="B266" s="1"/>
      <c r="C266" s="1"/>
      <c r="D266" s="1"/>
      <c r="E266" s="1"/>
      <c r="F266" s="7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spans="1:22" ht="14.25" customHeight="1" x14ac:dyDescent="0.25">
      <c r="A267" s="1"/>
      <c r="B267" s="1"/>
      <c r="C267" s="1"/>
      <c r="D267" s="1"/>
      <c r="E267" s="1"/>
      <c r="F267" s="7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spans="1:22" ht="14.25" customHeight="1" x14ac:dyDescent="0.25">
      <c r="A268" s="1"/>
      <c r="B268" s="1"/>
      <c r="C268" s="1"/>
      <c r="D268" s="1"/>
      <c r="E268" s="1"/>
      <c r="F268" s="7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spans="1:22" ht="14.25" customHeight="1" x14ac:dyDescent="0.25">
      <c r="A269" s="1"/>
      <c r="B269" s="1"/>
      <c r="C269" s="1"/>
      <c r="D269" s="1"/>
      <c r="E269" s="1"/>
      <c r="F269" s="7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spans="1:22" ht="14.25" customHeight="1" x14ac:dyDescent="0.25">
      <c r="A270" s="1"/>
      <c r="B270" s="1"/>
      <c r="C270" s="1"/>
      <c r="D270" s="1"/>
      <c r="E270" s="1"/>
      <c r="F270" s="7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spans="1:22" ht="14.25" customHeight="1" x14ac:dyDescent="0.25">
      <c r="A271" s="1"/>
      <c r="B271" s="1"/>
      <c r="C271" s="1"/>
      <c r="D271" s="1"/>
      <c r="E271" s="1"/>
      <c r="F271" s="7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spans="1:22" ht="14.25" customHeight="1" x14ac:dyDescent="0.25">
      <c r="A272" s="1"/>
      <c r="B272" s="1"/>
      <c r="C272" s="1"/>
      <c r="D272" s="1"/>
      <c r="E272" s="1"/>
      <c r="F272" s="7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spans="1:22" ht="14.25" customHeight="1" x14ac:dyDescent="0.25">
      <c r="A273" s="1"/>
      <c r="B273" s="1"/>
      <c r="C273" s="1"/>
      <c r="D273" s="1"/>
      <c r="E273" s="1"/>
      <c r="F273" s="7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spans="1:22" ht="14.25" customHeight="1" x14ac:dyDescent="0.25">
      <c r="A274" s="1"/>
      <c r="B274" s="1"/>
      <c r="C274" s="1"/>
      <c r="D274" s="1"/>
      <c r="E274" s="1"/>
      <c r="F274" s="7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spans="1:22" ht="14.25" customHeight="1" x14ac:dyDescent="0.25">
      <c r="A275" s="1"/>
      <c r="B275" s="1"/>
      <c r="C275" s="1"/>
      <c r="D275" s="1"/>
      <c r="E275" s="1"/>
      <c r="F275" s="7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spans="1:22" ht="14.25" customHeight="1" x14ac:dyDescent="0.25">
      <c r="A276" s="1"/>
      <c r="B276" s="1"/>
      <c r="C276" s="1"/>
      <c r="D276" s="1"/>
      <c r="E276" s="1"/>
      <c r="F276" s="7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spans="1:22" ht="14.25" customHeight="1" x14ac:dyDescent="0.25">
      <c r="A277" s="1"/>
      <c r="B277" s="1"/>
      <c r="C277" s="1"/>
      <c r="D277" s="1"/>
      <c r="E277" s="1"/>
      <c r="F277" s="7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spans="1:22" ht="14.25" customHeight="1" x14ac:dyDescent="0.25">
      <c r="A278" s="1"/>
      <c r="B278" s="1"/>
      <c r="C278" s="1"/>
      <c r="D278" s="1"/>
      <c r="E278" s="1"/>
      <c r="F278" s="7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spans="1:22" ht="14.25" customHeight="1" x14ac:dyDescent="0.25">
      <c r="A279" s="1"/>
      <c r="B279" s="1"/>
      <c r="C279" s="1"/>
      <c r="D279" s="1"/>
      <c r="E279" s="1"/>
      <c r="F279" s="7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spans="1:22" ht="14.25" customHeight="1" x14ac:dyDescent="0.25">
      <c r="A280" s="1"/>
      <c r="B280" s="1"/>
      <c r="C280" s="1"/>
      <c r="D280" s="1"/>
      <c r="E280" s="1"/>
      <c r="F280" s="7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spans="1:22" ht="14.25" customHeight="1" x14ac:dyDescent="0.25">
      <c r="A281" s="1"/>
      <c r="B281" s="1"/>
      <c r="C281" s="1"/>
      <c r="D281" s="1"/>
      <c r="E281" s="1"/>
      <c r="F281" s="7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spans="1:22" ht="14.25" customHeight="1" x14ac:dyDescent="0.25">
      <c r="A282" s="1"/>
      <c r="B282" s="1"/>
      <c r="C282" s="1"/>
      <c r="D282" s="1"/>
      <c r="E282" s="1"/>
      <c r="F282" s="7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spans="1:22" ht="14.25" customHeight="1" x14ac:dyDescent="0.25">
      <c r="A283" s="1"/>
      <c r="B283" s="1"/>
      <c r="C283" s="1"/>
      <c r="D283" s="1"/>
      <c r="E283" s="1"/>
      <c r="F283" s="7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spans="1:22" ht="14.25" customHeight="1" x14ac:dyDescent="0.25">
      <c r="A284" s="1"/>
      <c r="B284" s="1"/>
      <c r="C284" s="1"/>
      <c r="D284" s="1"/>
      <c r="E284" s="1"/>
      <c r="F284" s="7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spans="1:22" ht="14.25" customHeight="1" x14ac:dyDescent="0.25">
      <c r="A285" s="1"/>
      <c r="B285" s="1"/>
      <c r="C285" s="1"/>
      <c r="D285" s="1"/>
      <c r="E285" s="1"/>
      <c r="F285" s="7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spans="1:22" ht="14.25" customHeight="1" x14ac:dyDescent="0.25">
      <c r="A286" s="1"/>
      <c r="B286" s="1"/>
      <c r="C286" s="1"/>
      <c r="D286" s="1"/>
      <c r="E286" s="1"/>
      <c r="F286" s="7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spans="1:22" ht="14.25" customHeight="1" x14ac:dyDescent="0.25">
      <c r="A287" s="1"/>
      <c r="B287" s="1"/>
      <c r="C287" s="1"/>
      <c r="D287" s="1"/>
      <c r="E287" s="1"/>
      <c r="F287" s="7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spans="1:22" ht="14.25" customHeight="1" x14ac:dyDescent="0.25">
      <c r="A288" s="1"/>
      <c r="B288" s="1"/>
      <c r="C288" s="1"/>
      <c r="D288" s="1"/>
      <c r="E288" s="1"/>
      <c r="F288" s="7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spans="1:22" ht="14.25" customHeight="1" x14ac:dyDescent="0.25">
      <c r="A289" s="1"/>
      <c r="B289" s="1"/>
      <c r="C289" s="1"/>
      <c r="D289" s="1"/>
      <c r="E289" s="1"/>
      <c r="F289" s="7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spans="1:22" ht="14.25" customHeight="1" x14ac:dyDescent="0.25">
      <c r="A290" s="1"/>
      <c r="B290" s="1"/>
      <c r="C290" s="1"/>
      <c r="D290" s="1"/>
      <c r="E290" s="1"/>
      <c r="F290" s="7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spans="1:22" ht="14.25" customHeight="1" x14ac:dyDescent="0.25">
      <c r="A291" s="1"/>
      <c r="B291" s="1"/>
      <c r="C291" s="1"/>
      <c r="D291" s="1"/>
      <c r="E291" s="1"/>
      <c r="F291" s="7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spans="1:22" ht="14.25" customHeight="1" x14ac:dyDescent="0.25">
      <c r="A292" s="1"/>
      <c r="B292" s="1"/>
      <c r="C292" s="1"/>
      <c r="D292" s="1"/>
      <c r="E292" s="1"/>
      <c r="F292" s="7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spans="1:22" ht="14.25" customHeight="1" x14ac:dyDescent="0.25">
      <c r="A293" s="1"/>
      <c r="B293" s="1"/>
      <c r="C293" s="1"/>
      <c r="D293" s="1"/>
      <c r="E293" s="1"/>
      <c r="F293" s="7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spans="1:22" ht="14.25" customHeight="1" x14ac:dyDescent="0.25">
      <c r="A294" s="1"/>
      <c r="B294" s="1"/>
      <c r="C294" s="1"/>
      <c r="D294" s="1"/>
      <c r="E294" s="1"/>
      <c r="F294" s="7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spans="1:22" ht="14.25" customHeight="1" x14ac:dyDescent="0.25">
      <c r="A295" s="1"/>
      <c r="B295" s="1"/>
      <c r="C295" s="1"/>
      <c r="D295" s="1"/>
      <c r="E295" s="1"/>
      <c r="F295" s="7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spans="1:22" ht="14.25" customHeight="1" x14ac:dyDescent="0.25">
      <c r="A296" s="1"/>
      <c r="B296" s="1"/>
      <c r="C296" s="1"/>
      <c r="D296" s="1"/>
      <c r="E296" s="1"/>
      <c r="F296" s="7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spans="1:22" ht="14.25" customHeight="1" x14ac:dyDescent="0.25">
      <c r="A297" s="1"/>
      <c r="B297" s="1"/>
      <c r="C297" s="1"/>
      <c r="D297" s="1"/>
      <c r="E297" s="1"/>
      <c r="F297" s="7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spans="1:22" ht="14.25" customHeight="1" x14ac:dyDescent="0.25">
      <c r="A298" s="1"/>
      <c r="B298" s="1"/>
      <c r="C298" s="1"/>
      <c r="D298" s="1"/>
      <c r="E298" s="1"/>
      <c r="F298" s="7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spans="1:22" ht="14.25" customHeight="1" x14ac:dyDescent="0.25">
      <c r="A299" s="1"/>
      <c r="B299" s="1"/>
      <c r="C299" s="1"/>
      <c r="D299" s="1"/>
      <c r="E299" s="1"/>
      <c r="F299" s="7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spans="1:22" ht="14.25" customHeight="1" x14ac:dyDescent="0.25">
      <c r="A300" s="1"/>
      <c r="B300" s="1"/>
      <c r="C300" s="1"/>
      <c r="D300" s="1"/>
      <c r="E300" s="1"/>
      <c r="F300" s="7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spans="1:22" ht="14.25" customHeight="1" x14ac:dyDescent="0.25">
      <c r="A301" s="1"/>
      <c r="B301" s="1"/>
      <c r="C301" s="1"/>
      <c r="D301" s="1"/>
      <c r="E301" s="1"/>
      <c r="F301" s="7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spans="1:22" ht="14.25" customHeight="1" x14ac:dyDescent="0.25">
      <c r="A302" s="1"/>
      <c r="B302" s="1"/>
      <c r="C302" s="1"/>
      <c r="D302" s="1"/>
      <c r="E302" s="1"/>
      <c r="F302" s="7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spans="1:22" ht="14.25" customHeight="1" x14ac:dyDescent="0.25">
      <c r="A303" s="1"/>
      <c r="B303" s="1"/>
      <c r="C303" s="1"/>
      <c r="D303" s="1"/>
      <c r="E303" s="1"/>
      <c r="F303" s="7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spans="1:22" ht="14.25" customHeight="1" x14ac:dyDescent="0.25">
      <c r="A304" s="1"/>
      <c r="B304" s="1"/>
      <c r="C304" s="1"/>
      <c r="D304" s="1"/>
      <c r="E304" s="1"/>
      <c r="F304" s="7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spans="1:22" ht="14.25" customHeight="1" x14ac:dyDescent="0.25">
      <c r="A305" s="1"/>
      <c r="B305" s="1"/>
      <c r="C305" s="1"/>
      <c r="D305" s="1"/>
      <c r="E305" s="1"/>
      <c r="F305" s="7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spans="1:22" ht="14.25" customHeight="1" x14ac:dyDescent="0.25">
      <c r="A306" s="1"/>
      <c r="B306" s="1"/>
      <c r="C306" s="1"/>
      <c r="D306" s="1"/>
      <c r="E306" s="1"/>
      <c r="F306" s="7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spans="1:22" ht="14.25" customHeight="1" x14ac:dyDescent="0.25">
      <c r="A307" s="1"/>
      <c r="B307" s="1"/>
      <c r="C307" s="1"/>
      <c r="D307" s="1"/>
      <c r="E307" s="1"/>
      <c r="F307" s="7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spans="1:22" ht="14.25" customHeight="1" x14ac:dyDescent="0.25">
      <c r="A308" s="1"/>
      <c r="B308" s="1"/>
      <c r="C308" s="1"/>
      <c r="D308" s="1"/>
      <c r="E308" s="1"/>
      <c r="F308" s="7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spans="1:22" ht="14.25" customHeight="1" x14ac:dyDescent="0.25">
      <c r="A309" s="1"/>
      <c r="B309" s="1"/>
      <c r="C309" s="1"/>
      <c r="D309" s="1"/>
      <c r="E309" s="1"/>
      <c r="F309" s="7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spans="1:22" ht="14.25" customHeight="1" x14ac:dyDescent="0.25">
      <c r="A310" s="1"/>
      <c r="B310" s="1"/>
      <c r="C310" s="1"/>
      <c r="D310" s="1"/>
      <c r="E310" s="1"/>
      <c r="F310" s="7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spans="1:22" ht="14.25" customHeight="1" x14ac:dyDescent="0.25">
      <c r="A311" s="1"/>
      <c r="B311" s="1"/>
      <c r="C311" s="1"/>
      <c r="D311" s="1"/>
      <c r="E311" s="1"/>
      <c r="F311" s="7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spans="1:22" ht="14.25" customHeight="1" x14ac:dyDescent="0.25">
      <c r="A312" s="1"/>
      <c r="B312" s="1"/>
      <c r="C312" s="1"/>
      <c r="D312" s="1"/>
      <c r="E312" s="1"/>
      <c r="F312" s="7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spans="1:22" ht="14.25" customHeight="1" x14ac:dyDescent="0.25">
      <c r="A313" s="1"/>
      <c r="B313" s="1"/>
      <c r="C313" s="1"/>
      <c r="D313" s="1"/>
      <c r="E313" s="1"/>
      <c r="F313" s="7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spans="1:22" ht="14.25" customHeight="1" x14ac:dyDescent="0.25">
      <c r="A314" s="1"/>
      <c r="B314" s="1"/>
      <c r="C314" s="1"/>
      <c r="D314" s="1"/>
      <c r="E314" s="1"/>
      <c r="F314" s="7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spans="1:22" ht="14.25" customHeight="1" x14ac:dyDescent="0.25">
      <c r="A315" s="1"/>
      <c r="B315" s="1"/>
      <c r="C315" s="1"/>
      <c r="D315" s="1"/>
      <c r="E315" s="1"/>
      <c r="F315" s="7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spans="1:22" ht="14.25" customHeight="1" x14ac:dyDescent="0.25">
      <c r="A316" s="1"/>
      <c r="B316" s="1"/>
      <c r="C316" s="1"/>
      <c r="D316" s="1"/>
      <c r="E316" s="1"/>
      <c r="F316" s="7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spans="1:22" ht="14.25" customHeight="1" x14ac:dyDescent="0.25">
      <c r="A317" s="1"/>
      <c r="B317" s="1"/>
      <c r="C317" s="1"/>
      <c r="D317" s="1"/>
      <c r="E317" s="1"/>
      <c r="F317" s="7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spans="1:22" ht="14.25" customHeight="1" x14ac:dyDescent="0.25">
      <c r="A318" s="1"/>
      <c r="B318" s="1"/>
      <c r="C318" s="1"/>
      <c r="D318" s="1"/>
      <c r="E318" s="1"/>
      <c r="F318" s="7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spans="1:22" ht="14.25" customHeight="1" x14ac:dyDescent="0.25">
      <c r="A319" s="1"/>
      <c r="B319" s="1"/>
      <c r="C319" s="1"/>
      <c r="D319" s="1"/>
      <c r="E319" s="1"/>
      <c r="F319" s="7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spans="1:22" ht="14.25" customHeight="1" x14ac:dyDescent="0.25">
      <c r="A320" s="1"/>
      <c r="B320" s="1"/>
      <c r="C320" s="1"/>
      <c r="D320" s="1"/>
      <c r="E320" s="1"/>
      <c r="F320" s="7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spans="1:22" ht="14.25" customHeight="1" x14ac:dyDescent="0.25">
      <c r="A321" s="1"/>
      <c r="B321" s="1"/>
      <c r="C321" s="1"/>
      <c r="D321" s="1"/>
      <c r="E321" s="1"/>
      <c r="F321" s="7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spans="1:22" ht="14.25" customHeight="1" x14ac:dyDescent="0.25">
      <c r="A322" s="1"/>
      <c r="B322" s="1"/>
      <c r="C322" s="1"/>
      <c r="D322" s="1"/>
      <c r="E322" s="1"/>
      <c r="F322" s="7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spans="1:22" ht="14.25" customHeight="1" x14ac:dyDescent="0.25">
      <c r="A323" s="1"/>
      <c r="B323" s="1"/>
      <c r="C323" s="1"/>
      <c r="D323" s="1"/>
      <c r="E323" s="1"/>
      <c r="F323" s="7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spans="1:22" ht="14.25" customHeight="1" x14ac:dyDescent="0.25">
      <c r="A324" s="1"/>
      <c r="B324" s="1"/>
      <c r="C324" s="1"/>
      <c r="D324" s="1"/>
      <c r="E324" s="1"/>
      <c r="F324" s="7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spans="1:22" ht="14.25" customHeight="1" x14ac:dyDescent="0.25">
      <c r="A325" s="1"/>
      <c r="B325" s="1"/>
      <c r="C325" s="1"/>
      <c r="D325" s="1"/>
      <c r="E325" s="1"/>
      <c r="F325" s="7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spans="1:22" ht="14.25" customHeight="1" x14ac:dyDescent="0.25">
      <c r="A326" s="1"/>
      <c r="B326" s="1"/>
      <c r="C326" s="1"/>
      <c r="D326" s="1"/>
      <c r="E326" s="1"/>
      <c r="F326" s="7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spans="1:22" ht="14.25" customHeight="1" x14ac:dyDescent="0.25">
      <c r="A327" s="1"/>
      <c r="B327" s="1"/>
      <c r="C327" s="1"/>
      <c r="D327" s="1"/>
      <c r="E327" s="1"/>
      <c r="F327" s="7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spans="1:22" ht="14.25" customHeight="1" x14ac:dyDescent="0.25">
      <c r="A328" s="1"/>
      <c r="B328" s="1"/>
      <c r="C328" s="1"/>
      <c r="D328" s="1"/>
      <c r="E328" s="1"/>
      <c r="F328" s="7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spans="1:22" ht="14.25" customHeight="1" x14ac:dyDescent="0.25">
      <c r="A329" s="1"/>
      <c r="B329" s="1"/>
      <c r="C329" s="1"/>
      <c r="D329" s="1"/>
      <c r="E329" s="1"/>
      <c r="F329" s="7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spans="1:22" ht="14.25" customHeight="1" x14ac:dyDescent="0.25">
      <c r="A330" s="1"/>
      <c r="B330" s="1"/>
      <c r="C330" s="1"/>
      <c r="D330" s="1"/>
      <c r="E330" s="1"/>
      <c r="F330" s="7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spans="1:22" ht="14.25" customHeight="1" x14ac:dyDescent="0.25">
      <c r="A331" s="1"/>
      <c r="B331" s="1"/>
      <c r="C331" s="1"/>
      <c r="D331" s="1"/>
      <c r="E331" s="1"/>
      <c r="F331" s="7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spans="1:22" ht="14.25" customHeight="1" x14ac:dyDescent="0.25">
      <c r="A332" s="1"/>
      <c r="B332" s="1"/>
      <c r="C332" s="1"/>
      <c r="D332" s="1"/>
      <c r="E332" s="1"/>
      <c r="F332" s="7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spans="1:22" ht="14.25" customHeight="1" x14ac:dyDescent="0.25">
      <c r="A333" s="1"/>
      <c r="B333" s="1"/>
      <c r="C333" s="1"/>
      <c r="D333" s="1"/>
      <c r="E333" s="1"/>
      <c r="F333" s="7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spans="1:22" ht="14.25" customHeight="1" x14ac:dyDescent="0.25">
      <c r="A334" s="1"/>
      <c r="B334" s="1"/>
      <c r="C334" s="1"/>
      <c r="D334" s="1"/>
      <c r="E334" s="1"/>
      <c r="F334" s="7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spans="1:22" ht="14.25" customHeight="1" x14ac:dyDescent="0.25">
      <c r="A335" s="1"/>
      <c r="B335" s="1"/>
      <c r="C335" s="1"/>
      <c r="D335" s="1"/>
      <c r="E335" s="1"/>
      <c r="F335" s="7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spans="1:22" ht="14.25" customHeight="1" x14ac:dyDescent="0.25">
      <c r="A336" s="1"/>
      <c r="B336" s="1"/>
      <c r="C336" s="1"/>
      <c r="D336" s="1"/>
      <c r="E336" s="1"/>
      <c r="F336" s="7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spans="1:22" ht="14.25" customHeight="1" x14ac:dyDescent="0.25">
      <c r="A337" s="1"/>
      <c r="B337" s="1"/>
      <c r="C337" s="1"/>
      <c r="D337" s="1"/>
      <c r="E337" s="1"/>
      <c r="F337" s="7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spans="1:22" ht="14.25" customHeight="1" x14ac:dyDescent="0.25">
      <c r="A338" s="1"/>
      <c r="B338" s="1"/>
      <c r="C338" s="1"/>
      <c r="D338" s="1"/>
      <c r="E338" s="1"/>
      <c r="F338" s="7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spans="1:22" ht="14.25" customHeight="1" x14ac:dyDescent="0.25">
      <c r="A339" s="1"/>
      <c r="B339" s="1"/>
      <c r="C339" s="1"/>
      <c r="D339" s="1"/>
      <c r="E339" s="1"/>
      <c r="F339" s="7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spans="1:22" ht="14.25" customHeight="1" x14ac:dyDescent="0.25">
      <c r="A340" s="1"/>
      <c r="B340" s="1"/>
      <c r="C340" s="1"/>
      <c r="D340" s="1"/>
      <c r="E340" s="1"/>
      <c r="F340" s="7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spans="1:22" ht="14.25" customHeight="1" x14ac:dyDescent="0.25">
      <c r="A341" s="1"/>
      <c r="B341" s="1"/>
      <c r="C341" s="1"/>
      <c r="D341" s="1"/>
      <c r="E341" s="1"/>
      <c r="F341" s="7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spans="1:22" ht="14.25" customHeight="1" x14ac:dyDescent="0.25">
      <c r="A342" s="1"/>
      <c r="B342" s="1"/>
      <c r="C342" s="1"/>
      <c r="D342" s="1"/>
      <c r="E342" s="1"/>
      <c r="F342" s="7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spans="1:22" ht="14.25" customHeight="1" x14ac:dyDescent="0.25">
      <c r="A343" s="1"/>
      <c r="B343" s="1"/>
      <c r="C343" s="1"/>
      <c r="D343" s="1"/>
      <c r="E343" s="1"/>
      <c r="F343" s="7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spans="1:22" ht="14.25" customHeight="1" x14ac:dyDescent="0.25">
      <c r="A344" s="1"/>
      <c r="B344" s="1"/>
      <c r="C344" s="1"/>
      <c r="D344" s="1"/>
      <c r="E344" s="1"/>
      <c r="F344" s="7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spans="1:22" ht="14.25" customHeight="1" x14ac:dyDescent="0.25">
      <c r="A345" s="1"/>
      <c r="B345" s="1"/>
      <c r="C345" s="1"/>
      <c r="D345" s="1"/>
      <c r="E345" s="1"/>
      <c r="F345" s="7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spans="1:22" ht="14.25" customHeight="1" x14ac:dyDescent="0.25">
      <c r="A346" s="1"/>
      <c r="B346" s="1"/>
      <c r="C346" s="1"/>
      <c r="D346" s="1"/>
      <c r="E346" s="1"/>
      <c r="F346" s="7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spans="1:22" ht="14.25" customHeight="1" x14ac:dyDescent="0.25">
      <c r="A347" s="1"/>
      <c r="B347" s="1"/>
      <c r="C347" s="1"/>
      <c r="D347" s="1"/>
      <c r="E347" s="1"/>
      <c r="F347" s="7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spans="1:22" ht="14.25" customHeight="1" x14ac:dyDescent="0.25">
      <c r="A348" s="1"/>
      <c r="B348" s="1"/>
      <c r="C348" s="1"/>
      <c r="D348" s="1"/>
      <c r="E348" s="1"/>
      <c r="F348" s="7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spans="1:22" ht="14.25" customHeight="1" x14ac:dyDescent="0.25">
      <c r="A349" s="1"/>
      <c r="B349" s="1"/>
      <c r="C349" s="1"/>
      <c r="D349" s="1"/>
      <c r="E349" s="1"/>
      <c r="F349" s="7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spans="1:22" ht="14.25" customHeight="1" x14ac:dyDescent="0.25">
      <c r="A350" s="1"/>
      <c r="B350" s="1"/>
      <c r="C350" s="1"/>
      <c r="D350" s="1"/>
      <c r="E350" s="1"/>
      <c r="F350" s="7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spans="1:22" ht="14.25" customHeight="1" x14ac:dyDescent="0.25">
      <c r="A351" s="1"/>
      <c r="B351" s="1"/>
      <c r="C351" s="1"/>
      <c r="D351" s="1"/>
      <c r="E351" s="1"/>
      <c r="F351" s="7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spans="1:22" ht="14.25" customHeight="1" x14ac:dyDescent="0.25">
      <c r="A352" s="1"/>
      <c r="B352" s="1"/>
      <c r="C352" s="1"/>
      <c r="D352" s="1"/>
      <c r="E352" s="1"/>
      <c r="F352" s="7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spans="1:22" ht="14.25" customHeight="1" x14ac:dyDescent="0.25">
      <c r="A353" s="1"/>
      <c r="B353" s="1"/>
      <c r="C353" s="1"/>
      <c r="D353" s="1"/>
      <c r="E353" s="1"/>
      <c r="F353" s="7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spans="1:22" ht="14.25" customHeight="1" x14ac:dyDescent="0.25">
      <c r="A354" s="1"/>
      <c r="B354" s="1"/>
      <c r="C354" s="1"/>
      <c r="D354" s="1"/>
      <c r="E354" s="1"/>
      <c r="F354" s="7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spans="1:22" ht="14.25" customHeight="1" x14ac:dyDescent="0.25">
      <c r="A355" s="1"/>
      <c r="B355" s="1"/>
      <c r="C355" s="1"/>
      <c r="D355" s="1"/>
      <c r="E355" s="1"/>
      <c r="F355" s="7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spans="1:22" ht="14.25" customHeight="1" x14ac:dyDescent="0.25">
      <c r="A356" s="1"/>
      <c r="B356" s="1"/>
      <c r="C356" s="1"/>
      <c r="D356" s="1"/>
      <c r="E356" s="1"/>
      <c r="F356" s="7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spans="1:22" ht="14.25" customHeight="1" x14ac:dyDescent="0.25">
      <c r="A357" s="1"/>
      <c r="B357" s="1"/>
      <c r="C357" s="1"/>
      <c r="D357" s="1"/>
      <c r="E357" s="1"/>
      <c r="F357" s="7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spans="1:22" ht="14.25" customHeight="1" x14ac:dyDescent="0.25">
      <c r="A358" s="1"/>
      <c r="B358" s="1"/>
      <c r="C358" s="1"/>
      <c r="D358" s="1"/>
      <c r="E358" s="1"/>
      <c r="F358" s="7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spans="1:22" ht="14.25" customHeight="1" x14ac:dyDescent="0.25">
      <c r="A359" s="1"/>
      <c r="B359" s="1"/>
      <c r="C359" s="1"/>
      <c r="D359" s="1"/>
      <c r="E359" s="1"/>
      <c r="F359" s="7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spans="1:22" ht="14.25" customHeight="1" x14ac:dyDescent="0.25">
      <c r="A360" s="1"/>
      <c r="B360" s="1"/>
      <c r="C360" s="1"/>
      <c r="D360" s="1"/>
      <c r="E360" s="1"/>
      <c r="F360" s="7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spans="1:22" ht="14.25" customHeight="1" x14ac:dyDescent="0.25">
      <c r="A361" s="1"/>
      <c r="B361" s="1"/>
      <c r="C361" s="1"/>
      <c r="D361" s="1"/>
      <c r="E361" s="1"/>
      <c r="F361" s="7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spans="1:22" ht="14.25" customHeight="1" x14ac:dyDescent="0.25">
      <c r="A362" s="1"/>
      <c r="B362" s="1"/>
      <c r="C362" s="1"/>
      <c r="D362" s="1"/>
      <c r="E362" s="1"/>
      <c r="F362" s="7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spans="1:22" ht="14.25" customHeight="1" x14ac:dyDescent="0.25">
      <c r="A363" s="1"/>
      <c r="B363" s="1"/>
      <c r="C363" s="1"/>
      <c r="D363" s="1"/>
      <c r="E363" s="1"/>
      <c r="F363" s="7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spans="1:22" ht="14.25" customHeight="1" x14ac:dyDescent="0.25">
      <c r="A364" s="1"/>
      <c r="B364" s="1"/>
      <c r="C364" s="1"/>
      <c r="D364" s="1"/>
      <c r="E364" s="1"/>
      <c r="F364" s="7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spans="1:22" ht="14.25" customHeight="1" x14ac:dyDescent="0.25">
      <c r="A365" s="1"/>
      <c r="B365" s="1"/>
      <c r="C365" s="1"/>
      <c r="D365" s="1"/>
      <c r="E365" s="1"/>
      <c r="F365" s="7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spans="1:22" ht="14.25" customHeight="1" x14ac:dyDescent="0.25">
      <c r="A366" s="1"/>
      <c r="B366" s="1"/>
      <c r="C366" s="1"/>
      <c r="D366" s="1"/>
      <c r="E366" s="1"/>
      <c r="F366" s="7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spans="1:22" ht="14.25" customHeight="1" x14ac:dyDescent="0.25">
      <c r="A367" s="1"/>
      <c r="B367" s="1"/>
      <c r="C367" s="1"/>
      <c r="D367" s="1"/>
      <c r="E367" s="1"/>
      <c r="F367" s="7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spans="1:22" ht="14.25" customHeight="1" x14ac:dyDescent="0.25">
      <c r="A368" s="1"/>
      <c r="B368" s="1"/>
      <c r="C368" s="1"/>
      <c r="D368" s="1"/>
      <c r="E368" s="1"/>
      <c r="F368" s="7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spans="1:22" ht="14.25" customHeight="1" x14ac:dyDescent="0.25">
      <c r="A369" s="1"/>
      <c r="B369" s="1"/>
      <c r="C369" s="1"/>
      <c r="D369" s="1"/>
      <c r="E369" s="1"/>
      <c r="F369" s="7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spans="1:22" ht="14.25" customHeight="1" x14ac:dyDescent="0.25">
      <c r="A370" s="1"/>
      <c r="B370" s="1"/>
      <c r="C370" s="1"/>
      <c r="D370" s="1"/>
      <c r="E370" s="1"/>
      <c r="F370" s="7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spans="1:22" ht="14.25" customHeight="1" x14ac:dyDescent="0.25">
      <c r="A371" s="1"/>
      <c r="B371" s="1"/>
      <c r="C371" s="1"/>
      <c r="D371" s="1"/>
      <c r="E371" s="1"/>
      <c r="F371" s="7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spans="1:22" ht="14.25" customHeight="1" x14ac:dyDescent="0.25">
      <c r="A372" s="1"/>
      <c r="B372" s="1"/>
      <c r="C372" s="1"/>
      <c r="D372" s="1"/>
      <c r="E372" s="1"/>
      <c r="F372" s="7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spans="1:22" ht="14.25" customHeight="1" x14ac:dyDescent="0.25">
      <c r="A373" s="1"/>
      <c r="B373" s="1"/>
      <c r="C373" s="1"/>
      <c r="D373" s="1"/>
      <c r="E373" s="1"/>
      <c r="F373" s="7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spans="1:22" ht="14.25" customHeight="1" x14ac:dyDescent="0.25">
      <c r="A374" s="1"/>
      <c r="B374" s="1"/>
      <c r="C374" s="1"/>
      <c r="D374" s="1"/>
      <c r="E374" s="1"/>
      <c r="F374" s="7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spans="1:22" ht="14.25" customHeight="1" x14ac:dyDescent="0.25">
      <c r="A375" s="1"/>
      <c r="B375" s="1"/>
      <c r="C375" s="1"/>
      <c r="D375" s="1"/>
      <c r="E375" s="1"/>
      <c r="F375" s="7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spans="1:22" ht="14.25" customHeight="1" x14ac:dyDescent="0.25">
      <c r="A376" s="1"/>
      <c r="B376" s="1"/>
      <c r="C376" s="1"/>
      <c r="D376" s="1"/>
      <c r="E376" s="1"/>
      <c r="F376" s="7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spans="1:22" ht="14.25" customHeight="1" x14ac:dyDescent="0.25">
      <c r="A377" s="1"/>
      <c r="B377" s="1"/>
      <c r="C377" s="1"/>
      <c r="D377" s="1"/>
      <c r="E377" s="1"/>
      <c r="F377" s="7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spans="1:22" ht="14.25" customHeight="1" x14ac:dyDescent="0.25">
      <c r="A378" s="1"/>
      <c r="B378" s="1"/>
      <c r="C378" s="1"/>
      <c r="D378" s="1"/>
      <c r="E378" s="1"/>
      <c r="F378" s="7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spans="1:22" ht="14.25" customHeight="1" x14ac:dyDescent="0.25">
      <c r="A379" s="1"/>
      <c r="B379" s="1"/>
      <c r="C379" s="1"/>
      <c r="D379" s="1"/>
      <c r="E379" s="1"/>
      <c r="F379" s="7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spans="1:22" ht="14.25" customHeight="1" x14ac:dyDescent="0.25">
      <c r="A380" s="1"/>
      <c r="B380" s="1"/>
      <c r="C380" s="1"/>
      <c r="D380" s="1"/>
      <c r="E380" s="1"/>
      <c r="F380" s="7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spans="1:22" ht="14.25" customHeight="1" x14ac:dyDescent="0.25">
      <c r="A381" s="1"/>
      <c r="B381" s="1"/>
      <c r="C381" s="1"/>
      <c r="D381" s="1"/>
      <c r="E381" s="1"/>
      <c r="F381" s="7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spans="1:22" ht="14.25" customHeight="1" x14ac:dyDescent="0.25">
      <c r="A382" s="1"/>
      <c r="B382" s="1"/>
      <c r="C382" s="1"/>
      <c r="D382" s="1"/>
      <c r="E382" s="1"/>
      <c r="F382" s="7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spans="1:22" ht="14.25" customHeight="1" x14ac:dyDescent="0.25">
      <c r="A383" s="1"/>
      <c r="B383" s="1"/>
      <c r="C383" s="1"/>
      <c r="D383" s="1"/>
      <c r="E383" s="1"/>
      <c r="F383" s="7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spans="1:22" ht="14.25" customHeight="1" x14ac:dyDescent="0.25">
      <c r="A384" s="1"/>
      <c r="B384" s="1"/>
      <c r="C384" s="1"/>
      <c r="D384" s="1"/>
      <c r="E384" s="1"/>
      <c r="F384" s="7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spans="1:22" ht="14.25" customHeight="1" x14ac:dyDescent="0.25">
      <c r="A385" s="1"/>
      <c r="B385" s="1"/>
      <c r="C385" s="1"/>
      <c r="D385" s="1"/>
      <c r="E385" s="1"/>
      <c r="F385" s="7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spans="1:22" ht="14.25" customHeight="1" x14ac:dyDescent="0.25">
      <c r="A386" s="1"/>
      <c r="B386" s="1"/>
      <c r="C386" s="1"/>
      <c r="D386" s="1"/>
      <c r="E386" s="1"/>
      <c r="F386" s="7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spans="1:22" ht="14.25" customHeight="1" x14ac:dyDescent="0.25">
      <c r="A387" s="1"/>
      <c r="B387" s="1"/>
      <c r="C387" s="1"/>
      <c r="D387" s="1"/>
      <c r="E387" s="1"/>
      <c r="F387" s="7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spans="1:22" ht="14.25" customHeight="1" x14ac:dyDescent="0.25">
      <c r="A388" s="1"/>
      <c r="B388" s="1"/>
      <c r="C388" s="1"/>
      <c r="D388" s="1"/>
      <c r="E388" s="1"/>
      <c r="F388" s="7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spans="1:22" ht="14.25" customHeight="1" x14ac:dyDescent="0.25">
      <c r="A389" s="1"/>
      <c r="B389" s="1"/>
      <c r="C389" s="1"/>
      <c r="D389" s="1"/>
      <c r="E389" s="1"/>
      <c r="F389" s="7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spans="1:22" ht="14.25" customHeight="1" x14ac:dyDescent="0.25">
      <c r="A390" s="1"/>
      <c r="B390" s="1"/>
      <c r="C390" s="1"/>
      <c r="D390" s="1"/>
      <c r="E390" s="1"/>
      <c r="F390" s="7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spans="1:22" ht="14.25" customHeight="1" x14ac:dyDescent="0.25">
      <c r="A391" s="1"/>
      <c r="B391" s="1"/>
      <c r="C391" s="1"/>
      <c r="D391" s="1"/>
      <c r="E391" s="1"/>
      <c r="F391" s="7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spans="1:22" ht="14.25" customHeight="1" x14ac:dyDescent="0.25">
      <c r="A392" s="1"/>
      <c r="B392" s="1"/>
      <c r="C392" s="1"/>
      <c r="D392" s="1"/>
      <c r="E392" s="1"/>
      <c r="F392" s="7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spans="1:22" ht="14.25" customHeight="1" x14ac:dyDescent="0.25">
      <c r="A393" s="1"/>
      <c r="B393" s="1"/>
      <c r="C393" s="1"/>
      <c r="D393" s="1"/>
      <c r="E393" s="1"/>
      <c r="F393" s="7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spans="1:22" ht="14.25" customHeight="1" x14ac:dyDescent="0.25">
      <c r="A394" s="1"/>
      <c r="B394" s="1"/>
      <c r="C394" s="1"/>
      <c r="D394" s="1"/>
      <c r="E394" s="1"/>
      <c r="F394" s="7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spans="1:22" ht="14.25" customHeight="1" x14ac:dyDescent="0.25">
      <c r="A395" s="1"/>
      <c r="B395" s="1"/>
      <c r="C395" s="1"/>
      <c r="D395" s="1"/>
      <c r="E395" s="1"/>
      <c r="F395" s="7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spans="1:22" ht="14.25" customHeight="1" x14ac:dyDescent="0.25">
      <c r="A396" s="1"/>
      <c r="B396" s="1"/>
      <c r="C396" s="1"/>
      <c r="D396" s="1"/>
      <c r="E396" s="1"/>
      <c r="F396" s="7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spans="1:22" ht="14.25" customHeight="1" x14ac:dyDescent="0.25">
      <c r="A397" s="1"/>
      <c r="B397" s="1"/>
      <c r="C397" s="1"/>
      <c r="D397" s="1"/>
      <c r="E397" s="1"/>
      <c r="F397" s="7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spans="1:22" ht="14.25" customHeight="1" x14ac:dyDescent="0.25">
      <c r="A398" s="1"/>
      <c r="B398" s="1"/>
      <c r="C398" s="1"/>
      <c r="D398" s="1"/>
      <c r="E398" s="1"/>
      <c r="F398" s="7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spans="1:22" ht="14.25" customHeight="1" x14ac:dyDescent="0.25">
      <c r="A399" s="1"/>
      <c r="B399" s="1"/>
      <c r="C399" s="1"/>
      <c r="D399" s="1"/>
      <c r="E399" s="1"/>
      <c r="F399" s="7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spans="1:22" ht="14.25" customHeight="1" x14ac:dyDescent="0.25">
      <c r="A400" s="1"/>
      <c r="B400" s="1"/>
      <c r="C400" s="1"/>
      <c r="D400" s="1"/>
      <c r="E400" s="1"/>
      <c r="F400" s="7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spans="1:22" ht="14.25" customHeight="1" x14ac:dyDescent="0.25">
      <c r="A401" s="1"/>
      <c r="B401" s="1"/>
      <c r="C401" s="1"/>
      <c r="D401" s="1"/>
      <c r="E401" s="1"/>
      <c r="F401" s="7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spans="1:22" ht="14.25" customHeight="1" x14ac:dyDescent="0.25">
      <c r="A402" s="1"/>
      <c r="B402" s="1"/>
      <c r="C402" s="1"/>
      <c r="D402" s="1"/>
      <c r="E402" s="1"/>
      <c r="F402" s="7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spans="1:22" ht="14.25" customHeight="1" x14ac:dyDescent="0.25">
      <c r="A403" s="1"/>
      <c r="B403" s="1"/>
      <c r="C403" s="1"/>
      <c r="D403" s="1"/>
      <c r="E403" s="1"/>
      <c r="F403" s="7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spans="1:22" ht="14.25" customHeight="1" x14ac:dyDescent="0.25">
      <c r="A404" s="1"/>
      <c r="B404" s="1"/>
      <c r="C404" s="1"/>
      <c r="D404" s="1"/>
      <c r="E404" s="1"/>
      <c r="F404" s="7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spans="1:22" ht="14.25" customHeight="1" x14ac:dyDescent="0.25">
      <c r="A405" s="1"/>
      <c r="B405" s="1"/>
      <c r="C405" s="1"/>
      <c r="D405" s="1"/>
      <c r="E405" s="1"/>
      <c r="F405" s="7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spans="1:22" ht="14.25" customHeight="1" x14ac:dyDescent="0.25">
      <c r="A406" s="1"/>
      <c r="B406" s="1"/>
      <c r="C406" s="1"/>
      <c r="D406" s="1"/>
      <c r="E406" s="1"/>
      <c r="F406" s="7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spans="1:22" ht="14.25" customHeight="1" x14ac:dyDescent="0.25">
      <c r="A407" s="1"/>
      <c r="B407" s="1"/>
      <c r="C407" s="1"/>
      <c r="D407" s="1"/>
      <c r="E407" s="1"/>
      <c r="F407" s="7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spans="1:22" ht="14.25" customHeight="1" x14ac:dyDescent="0.25">
      <c r="A408" s="1"/>
      <c r="B408" s="1"/>
      <c r="C408" s="1"/>
      <c r="D408" s="1"/>
      <c r="E408" s="1"/>
      <c r="F408" s="7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spans="1:22" ht="14.25" customHeight="1" x14ac:dyDescent="0.25">
      <c r="A409" s="1"/>
      <c r="B409" s="1"/>
      <c r="C409" s="1"/>
      <c r="D409" s="1"/>
      <c r="E409" s="1"/>
      <c r="F409" s="7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spans="1:22" ht="14.25" customHeight="1" x14ac:dyDescent="0.25">
      <c r="A410" s="1"/>
      <c r="B410" s="1"/>
      <c r="C410" s="1"/>
      <c r="D410" s="1"/>
      <c r="E410" s="1"/>
      <c r="F410" s="7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spans="1:22" ht="14.25" customHeight="1" x14ac:dyDescent="0.25">
      <c r="A411" s="1"/>
      <c r="B411" s="1"/>
      <c r="C411" s="1"/>
      <c r="D411" s="1"/>
      <c r="E411" s="1"/>
      <c r="F411" s="7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spans="1:22" ht="14.25" customHeight="1" x14ac:dyDescent="0.25">
      <c r="A412" s="1"/>
      <c r="B412" s="1"/>
      <c r="C412" s="1"/>
      <c r="D412" s="1"/>
      <c r="E412" s="1"/>
      <c r="F412" s="7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spans="1:22" ht="14.25" customHeight="1" x14ac:dyDescent="0.25">
      <c r="A413" s="1"/>
      <c r="B413" s="1"/>
      <c r="C413" s="1"/>
      <c r="D413" s="1"/>
      <c r="E413" s="1"/>
      <c r="F413" s="7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spans="1:22" ht="14.25" customHeight="1" x14ac:dyDescent="0.25">
      <c r="A414" s="1"/>
      <c r="B414" s="1"/>
      <c r="C414" s="1"/>
      <c r="D414" s="1"/>
      <c r="E414" s="1"/>
      <c r="F414" s="7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spans="1:22" ht="14.25" customHeight="1" x14ac:dyDescent="0.25">
      <c r="A415" s="1"/>
      <c r="B415" s="1"/>
      <c r="C415" s="1"/>
      <c r="D415" s="1"/>
      <c r="E415" s="1"/>
      <c r="F415" s="7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spans="1:22" ht="14.25" customHeight="1" x14ac:dyDescent="0.25">
      <c r="A416" s="1"/>
      <c r="B416" s="1"/>
      <c r="C416" s="1"/>
      <c r="D416" s="1"/>
      <c r="E416" s="1"/>
      <c r="F416" s="7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spans="1:22" ht="14.25" customHeight="1" x14ac:dyDescent="0.25">
      <c r="A417" s="1"/>
      <c r="B417" s="1"/>
      <c r="C417" s="1"/>
      <c r="D417" s="1"/>
      <c r="E417" s="1"/>
      <c r="F417" s="7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spans="1:22" ht="14.25" customHeight="1" x14ac:dyDescent="0.25">
      <c r="A418" s="1"/>
      <c r="B418" s="1"/>
      <c r="C418" s="1"/>
      <c r="D418" s="1"/>
      <c r="E418" s="1"/>
      <c r="F418" s="7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spans="1:22" ht="14.25" customHeight="1" x14ac:dyDescent="0.25">
      <c r="A419" s="1"/>
      <c r="B419" s="1"/>
      <c r="C419" s="1"/>
      <c r="D419" s="1"/>
      <c r="E419" s="1"/>
      <c r="F419" s="7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spans="1:22" ht="14.25" customHeight="1" x14ac:dyDescent="0.25">
      <c r="A420" s="1"/>
      <c r="B420" s="1"/>
      <c r="C420" s="1"/>
      <c r="D420" s="1"/>
      <c r="E420" s="1"/>
      <c r="F420" s="7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spans="1:22" ht="14.25" customHeight="1" x14ac:dyDescent="0.25">
      <c r="A421" s="1"/>
      <c r="B421" s="1"/>
      <c r="C421" s="1"/>
      <c r="D421" s="1"/>
      <c r="E421" s="1"/>
      <c r="F421" s="7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spans="1:22" ht="14.25" customHeight="1" x14ac:dyDescent="0.25">
      <c r="A422" s="1"/>
      <c r="B422" s="1"/>
      <c r="C422" s="1"/>
      <c r="D422" s="1"/>
      <c r="E422" s="1"/>
      <c r="F422" s="7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spans="1:22" ht="14.25" customHeight="1" x14ac:dyDescent="0.25">
      <c r="A423" s="1"/>
      <c r="B423" s="1"/>
      <c r="C423" s="1"/>
      <c r="D423" s="1"/>
      <c r="E423" s="1"/>
      <c r="F423" s="7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spans="1:22" ht="14.25" customHeight="1" x14ac:dyDescent="0.25">
      <c r="A424" s="1"/>
      <c r="B424" s="1"/>
      <c r="C424" s="1"/>
      <c r="D424" s="1"/>
      <c r="E424" s="1"/>
      <c r="F424" s="7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spans="1:22" ht="14.25" customHeight="1" x14ac:dyDescent="0.25">
      <c r="A425" s="1"/>
      <c r="B425" s="1"/>
      <c r="C425" s="1"/>
      <c r="D425" s="1"/>
      <c r="E425" s="1"/>
      <c r="F425" s="7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spans="1:22" ht="14.25" customHeight="1" x14ac:dyDescent="0.25">
      <c r="A426" s="1"/>
      <c r="B426" s="1"/>
      <c r="C426" s="1"/>
      <c r="D426" s="1"/>
      <c r="E426" s="1"/>
      <c r="F426" s="7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spans="1:22" ht="14.25" customHeight="1" x14ac:dyDescent="0.25">
      <c r="A427" s="1"/>
      <c r="B427" s="1"/>
      <c r="C427" s="1"/>
      <c r="D427" s="1"/>
      <c r="E427" s="1"/>
      <c r="F427" s="7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spans="1:22" ht="14.25" customHeight="1" x14ac:dyDescent="0.25">
      <c r="A428" s="1"/>
      <c r="B428" s="1"/>
      <c r="C428" s="1"/>
      <c r="D428" s="1"/>
      <c r="E428" s="1"/>
      <c r="F428" s="7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spans="1:22" ht="14.25" customHeight="1" x14ac:dyDescent="0.25">
      <c r="A429" s="1"/>
      <c r="B429" s="1"/>
      <c r="C429" s="1"/>
      <c r="D429" s="1"/>
      <c r="E429" s="1"/>
      <c r="F429" s="7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spans="1:22" ht="14.25" customHeight="1" x14ac:dyDescent="0.25">
      <c r="A430" s="1"/>
      <c r="B430" s="1"/>
      <c r="C430" s="1"/>
      <c r="D430" s="1"/>
      <c r="E430" s="1"/>
      <c r="F430" s="7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spans="1:22" ht="14.25" customHeight="1" x14ac:dyDescent="0.25">
      <c r="A431" s="1"/>
      <c r="B431" s="1"/>
      <c r="C431" s="1"/>
      <c r="D431" s="1"/>
      <c r="E431" s="1"/>
      <c r="F431" s="7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spans="1:22" ht="14.25" customHeight="1" x14ac:dyDescent="0.25">
      <c r="A432" s="1"/>
      <c r="B432" s="1"/>
      <c r="C432" s="1"/>
      <c r="D432" s="1"/>
      <c r="E432" s="1"/>
      <c r="F432" s="7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spans="1:22" ht="14.25" customHeight="1" x14ac:dyDescent="0.25">
      <c r="A433" s="1"/>
      <c r="B433" s="1"/>
      <c r="C433" s="1"/>
      <c r="D433" s="1"/>
      <c r="E433" s="1"/>
      <c r="F433" s="7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spans="1:22" ht="14.25" customHeight="1" x14ac:dyDescent="0.25">
      <c r="A434" s="1"/>
      <c r="B434" s="1"/>
      <c r="C434" s="1"/>
      <c r="D434" s="1"/>
      <c r="E434" s="1"/>
      <c r="F434" s="7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spans="1:22" ht="14.25" customHeight="1" x14ac:dyDescent="0.25">
      <c r="A435" s="1"/>
      <c r="B435" s="1"/>
      <c r="C435" s="1"/>
      <c r="D435" s="1"/>
      <c r="E435" s="1"/>
      <c r="F435" s="7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spans="1:22" ht="14.25" customHeight="1" x14ac:dyDescent="0.25">
      <c r="A436" s="1"/>
      <c r="B436" s="1"/>
      <c r="C436" s="1"/>
      <c r="D436" s="1"/>
      <c r="E436" s="1"/>
      <c r="F436" s="7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spans="1:22" ht="14.25" customHeight="1" x14ac:dyDescent="0.25">
      <c r="A437" s="1"/>
      <c r="B437" s="1"/>
      <c r="C437" s="1"/>
      <c r="D437" s="1"/>
      <c r="E437" s="1"/>
      <c r="F437" s="7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spans="1:22" ht="14.25" customHeight="1" x14ac:dyDescent="0.25">
      <c r="A438" s="1"/>
      <c r="B438" s="1"/>
      <c r="C438" s="1"/>
      <c r="D438" s="1"/>
      <c r="E438" s="1"/>
      <c r="F438" s="7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spans="1:22" ht="14.25" customHeight="1" x14ac:dyDescent="0.25">
      <c r="A439" s="1"/>
      <c r="B439" s="1"/>
      <c r="C439" s="1"/>
      <c r="D439" s="1"/>
      <c r="E439" s="1"/>
      <c r="F439" s="7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spans="1:22" ht="14.25" customHeight="1" x14ac:dyDescent="0.25">
      <c r="A440" s="1"/>
      <c r="B440" s="1"/>
      <c r="C440" s="1"/>
      <c r="D440" s="1"/>
      <c r="E440" s="1"/>
      <c r="F440" s="7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spans="1:22" ht="14.25" customHeight="1" x14ac:dyDescent="0.25">
      <c r="A441" s="1"/>
      <c r="B441" s="1"/>
      <c r="C441" s="1"/>
      <c r="D441" s="1"/>
      <c r="E441" s="1"/>
      <c r="F441" s="7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spans="1:22" ht="14.25" customHeight="1" x14ac:dyDescent="0.25">
      <c r="A442" s="1"/>
      <c r="B442" s="1"/>
      <c r="C442" s="1"/>
      <c r="D442" s="1"/>
      <c r="E442" s="1"/>
      <c r="F442" s="7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spans="1:22" ht="14.25" customHeight="1" x14ac:dyDescent="0.25">
      <c r="A443" s="1"/>
      <c r="B443" s="1"/>
      <c r="C443" s="1"/>
      <c r="D443" s="1"/>
      <c r="E443" s="1"/>
      <c r="F443" s="7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spans="1:22" ht="14.25" customHeight="1" x14ac:dyDescent="0.25">
      <c r="A444" s="1"/>
      <c r="B444" s="1"/>
      <c r="C444" s="1"/>
      <c r="D444" s="1"/>
      <c r="E444" s="1"/>
      <c r="F444" s="7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spans="1:22" ht="14.25" customHeight="1" x14ac:dyDescent="0.25">
      <c r="A445" s="1"/>
      <c r="B445" s="1"/>
      <c r="C445" s="1"/>
      <c r="D445" s="1"/>
      <c r="E445" s="1"/>
      <c r="F445" s="7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spans="1:22" ht="14.25" customHeight="1" x14ac:dyDescent="0.25">
      <c r="A446" s="1"/>
      <c r="B446" s="1"/>
      <c r="C446" s="1"/>
      <c r="D446" s="1"/>
      <c r="E446" s="1"/>
      <c r="F446" s="7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spans="1:22" ht="14.25" customHeight="1" x14ac:dyDescent="0.25">
      <c r="A447" s="1"/>
      <c r="B447" s="1"/>
      <c r="C447" s="1"/>
      <c r="D447" s="1"/>
      <c r="E447" s="1"/>
      <c r="F447" s="7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spans="1:22" ht="14.25" customHeight="1" x14ac:dyDescent="0.25">
      <c r="A448" s="1"/>
      <c r="B448" s="1"/>
      <c r="C448" s="1"/>
      <c r="D448" s="1"/>
      <c r="E448" s="1"/>
      <c r="F448" s="7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spans="1:22" ht="14.25" customHeight="1" x14ac:dyDescent="0.25">
      <c r="A449" s="1"/>
      <c r="B449" s="1"/>
      <c r="C449" s="1"/>
      <c r="D449" s="1"/>
      <c r="E449" s="1"/>
      <c r="F449" s="7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spans="1:22" ht="14.25" customHeight="1" x14ac:dyDescent="0.25">
      <c r="A450" s="1"/>
      <c r="B450" s="1"/>
      <c r="C450" s="1"/>
      <c r="D450" s="1"/>
      <c r="E450" s="1"/>
      <c r="F450" s="7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spans="1:22" ht="14.25" customHeight="1" x14ac:dyDescent="0.25">
      <c r="A451" s="1"/>
      <c r="B451" s="1"/>
      <c r="C451" s="1"/>
      <c r="D451" s="1"/>
      <c r="E451" s="1"/>
      <c r="F451" s="7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spans="1:22" ht="14.25" customHeight="1" x14ac:dyDescent="0.25">
      <c r="A452" s="1"/>
      <c r="B452" s="1"/>
      <c r="C452" s="1"/>
      <c r="D452" s="1"/>
      <c r="E452" s="1"/>
      <c r="F452" s="7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spans="1:22" ht="14.25" customHeight="1" x14ac:dyDescent="0.25">
      <c r="A453" s="1"/>
      <c r="B453" s="1"/>
      <c r="C453" s="1"/>
      <c r="D453" s="1"/>
      <c r="E453" s="1"/>
      <c r="F453" s="7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spans="1:22" ht="14.25" customHeight="1" x14ac:dyDescent="0.25">
      <c r="A454" s="1"/>
      <c r="B454" s="1"/>
      <c r="C454" s="1"/>
      <c r="D454" s="1"/>
      <c r="E454" s="1"/>
      <c r="F454" s="7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spans="1:22" ht="14.25" customHeight="1" x14ac:dyDescent="0.25">
      <c r="A455" s="1"/>
      <c r="B455" s="1"/>
      <c r="C455" s="1"/>
      <c r="D455" s="1"/>
      <c r="E455" s="1"/>
      <c r="F455" s="7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spans="1:22" ht="14.25" customHeight="1" x14ac:dyDescent="0.25">
      <c r="A456" s="1"/>
      <c r="B456" s="1"/>
      <c r="C456" s="1"/>
      <c r="D456" s="1"/>
      <c r="E456" s="1"/>
      <c r="F456" s="7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spans="1:22" ht="14.25" customHeight="1" x14ac:dyDescent="0.25">
      <c r="A457" s="1"/>
      <c r="B457" s="1"/>
      <c r="C457" s="1"/>
      <c r="D457" s="1"/>
      <c r="E457" s="1"/>
      <c r="F457" s="7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spans="1:22" ht="14.25" customHeight="1" x14ac:dyDescent="0.25">
      <c r="A458" s="1"/>
      <c r="B458" s="1"/>
      <c r="C458" s="1"/>
      <c r="D458" s="1"/>
      <c r="E458" s="1"/>
      <c r="F458" s="7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spans="1:22" ht="14.25" customHeight="1" x14ac:dyDescent="0.25">
      <c r="A459" s="1"/>
      <c r="B459" s="1"/>
      <c r="C459" s="1"/>
      <c r="D459" s="1"/>
      <c r="E459" s="1"/>
      <c r="F459" s="7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spans="1:22" ht="14.25" customHeight="1" x14ac:dyDescent="0.25">
      <c r="A460" s="1"/>
      <c r="B460" s="1"/>
      <c r="C460" s="1"/>
      <c r="D460" s="1"/>
      <c r="E460" s="1"/>
      <c r="F460" s="7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spans="1:22" ht="14.25" customHeight="1" x14ac:dyDescent="0.25">
      <c r="A461" s="1"/>
      <c r="B461" s="1"/>
      <c r="C461" s="1"/>
      <c r="D461" s="1"/>
      <c r="E461" s="1"/>
      <c r="F461" s="7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spans="1:22" ht="14.25" customHeight="1" x14ac:dyDescent="0.25">
      <c r="A462" s="1"/>
      <c r="B462" s="1"/>
      <c r="C462" s="1"/>
      <c r="D462" s="1"/>
      <c r="E462" s="1"/>
      <c r="F462" s="7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spans="1:22" ht="14.25" customHeight="1" x14ac:dyDescent="0.25">
      <c r="A463" s="1"/>
      <c r="B463" s="1"/>
      <c r="C463" s="1"/>
      <c r="D463" s="1"/>
      <c r="E463" s="1"/>
      <c r="F463" s="7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spans="1:22" ht="14.25" customHeight="1" x14ac:dyDescent="0.25">
      <c r="A464" s="1"/>
      <c r="B464" s="1"/>
      <c r="C464" s="1"/>
      <c r="D464" s="1"/>
      <c r="E464" s="1"/>
      <c r="F464" s="7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spans="1:22" ht="14.25" customHeight="1" x14ac:dyDescent="0.25">
      <c r="A465" s="1"/>
      <c r="B465" s="1"/>
      <c r="C465" s="1"/>
      <c r="D465" s="1"/>
      <c r="E465" s="1"/>
      <c r="F465" s="7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spans="1:22" ht="14.25" customHeight="1" x14ac:dyDescent="0.25">
      <c r="A466" s="1"/>
      <c r="B466" s="1"/>
      <c r="C466" s="1"/>
      <c r="D466" s="1"/>
      <c r="E466" s="1"/>
      <c r="F466" s="7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spans="1:22" ht="14.25" customHeight="1" x14ac:dyDescent="0.25">
      <c r="A467" s="1"/>
      <c r="B467" s="1"/>
      <c r="C467" s="1"/>
      <c r="D467" s="1"/>
      <c r="E467" s="1"/>
      <c r="F467" s="7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spans="1:22" ht="14.25" customHeight="1" x14ac:dyDescent="0.25">
      <c r="A468" s="1"/>
      <c r="B468" s="1"/>
      <c r="C468" s="1"/>
      <c r="D468" s="1"/>
      <c r="E468" s="1"/>
      <c r="F468" s="7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spans="1:22" ht="14.25" customHeight="1" x14ac:dyDescent="0.25">
      <c r="A469" s="1"/>
      <c r="B469" s="1"/>
      <c r="C469" s="1"/>
      <c r="D469" s="1"/>
      <c r="E469" s="1"/>
      <c r="F469" s="7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spans="1:22" ht="14.25" customHeight="1" x14ac:dyDescent="0.25">
      <c r="A470" s="1"/>
      <c r="B470" s="1"/>
      <c r="C470" s="1"/>
      <c r="D470" s="1"/>
      <c r="E470" s="1"/>
      <c r="F470" s="7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spans="1:22" ht="14.25" customHeight="1" x14ac:dyDescent="0.25">
      <c r="A471" s="1"/>
      <c r="B471" s="1"/>
      <c r="C471" s="1"/>
      <c r="D471" s="1"/>
      <c r="E471" s="1"/>
      <c r="F471" s="7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spans="1:22" ht="14.25" customHeight="1" x14ac:dyDescent="0.25">
      <c r="A472" s="1"/>
      <c r="B472" s="1"/>
      <c r="C472" s="1"/>
      <c r="D472" s="1"/>
      <c r="E472" s="1"/>
      <c r="F472" s="7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spans="1:22" ht="14.25" customHeight="1" x14ac:dyDescent="0.25">
      <c r="A473" s="1"/>
      <c r="B473" s="1"/>
      <c r="C473" s="1"/>
      <c r="D473" s="1"/>
      <c r="E473" s="1"/>
      <c r="F473" s="7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spans="1:22" ht="14.25" customHeight="1" x14ac:dyDescent="0.25">
      <c r="A474" s="1"/>
      <c r="B474" s="1"/>
      <c r="C474" s="1"/>
      <c r="D474" s="1"/>
      <c r="E474" s="1"/>
      <c r="F474" s="7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spans="1:22" ht="14.25" customHeight="1" x14ac:dyDescent="0.25">
      <c r="A475" s="1"/>
      <c r="B475" s="1"/>
      <c r="C475" s="1"/>
      <c r="D475" s="1"/>
      <c r="E475" s="1"/>
      <c r="F475" s="7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spans="1:22" ht="14.25" customHeight="1" x14ac:dyDescent="0.25">
      <c r="A476" s="1"/>
      <c r="B476" s="1"/>
      <c r="C476" s="1"/>
      <c r="D476" s="1"/>
      <c r="E476" s="1"/>
      <c r="F476" s="7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spans="1:22" ht="14.25" customHeight="1" x14ac:dyDescent="0.25">
      <c r="A477" s="1"/>
      <c r="B477" s="1"/>
      <c r="C477" s="1"/>
      <c r="D477" s="1"/>
      <c r="E477" s="1"/>
      <c r="F477" s="7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spans="1:22" ht="14.25" customHeight="1" x14ac:dyDescent="0.25">
      <c r="A478" s="1"/>
      <c r="B478" s="1"/>
      <c r="C478" s="1"/>
      <c r="D478" s="1"/>
      <c r="E478" s="1"/>
      <c r="F478" s="7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spans="1:22" ht="14.25" customHeight="1" x14ac:dyDescent="0.25">
      <c r="A479" s="1"/>
      <c r="B479" s="1"/>
      <c r="C479" s="1"/>
      <c r="D479" s="1"/>
      <c r="E479" s="1"/>
      <c r="F479" s="7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spans="1:22" ht="14.25" customHeight="1" x14ac:dyDescent="0.25">
      <c r="A480" s="1"/>
      <c r="B480" s="1"/>
      <c r="C480" s="1"/>
      <c r="D480" s="1"/>
      <c r="E480" s="1"/>
      <c r="F480" s="7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spans="1:22" ht="14.25" customHeight="1" x14ac:dyDescent="0.25">
      <c r="A481" s="1"/>
      <c r="B481" s="1"/>
      <c r="C481" s="1"/>
      <c r="D481" s="1"/>
      <c r="E481" s="1"/>
      <c r="F481" s="7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spans="1:22" ht="14.25" customHeight="1" x14ac:dyDescent="0.25">
      <c r="A482" s="1"/>
      <c r="B482" s="1"/>
      <c r="C482" s="1"/>
      <c r="D482" s="1"/>
      <c r="E482" s="1"/>
      <c r="F482" s="7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spans="1:22" ht="14.25" customHeight="1" x14ac:dyDescent="0.25">
      <c r="A483" s="1"/>
      <c r="B483" s="1"/>
      <c r="C483" s="1"/>
      <c r="D483" s="1"/>
      <c r="E483" s="1"/>
      <c r="F483" s="7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spans="1:22" ht="14.25" customHeight="1" x14ac:dyDescent="0.25">
      <c r="A484" s="1"/>
      <c r="B484" s="1"/>
      <c r="C484" s="1"/>
      <c r="D484" s="1"/>
      <c r="E484" s="1"/>
      <c r="F484" s="7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spans="1:22" ht="14.25" customHeight="1" x14ac:dyDescent="0.25">
      <c r="A485" s="1"/>
      <c r="B485" s="1"/>
      <c r="C485" s="1"/>
      <c r="D485" s="1"/>
      <c r="E485" s="1"/>
      <c r="F485" s="7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spans="1:22" ht="14.25" customHeight="1" x14ac:dyDescent="0.25">
      <c r="A486" s="1"/>
      <c r="B486" s="1"/>
      <c r="C486" s="1"/>
      <c r="D486" s="1"/>
      <c r="E486" s="1"/>
      <c r="F486" s="7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spans="1:22" ht="14.25" customHeight="1" x14ac:dyDescent="0.25">
      <c r="A487" s="1"/>
      <c r="B487" s="1"/>
      <c r="C487" s="1"/>
      <c r="D487" s="1"/>
      <c r="E487" s="1"/>
      <c r="F487" s="7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spans="1:22" ht="14.25" customHeight="1" x14ac:dyDescent="0.25">
      <c r="A488" s="1"/>
      <c r="B488" s="1"/>
      <c r="C488" s="1"/>
      <c r="D488" s="1"/>
      <c r="E488" s="1"/>
      <c r="F488" s="7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spans="1:22" ht="14.25" customHeight="1" x14ac:dyDescent="0.25">
      <c r="A489" s="1"/>
      <c r="B489" s="1"/>
      <c r="C489" s="1"/>
      <c r="D489" s="1"/>
      <c r="E489" s="1"/>
      <c r="F489" s="7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spans="1:22" ht="14.25" customHeight="1" x14ac:dyDescent="0.25">
      <c r="A490" s="1"/>
      <c r="B490" s="1"/>
      <c r="C490" s="1"/>
      <c r="D490" s="1"/>
      <c r="E490" s="1"/>
      <c r="F490" s="7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spans="1:22" ht="14.25" customHeight="1" x14ac:dyDescent="0.25">
      <c r="A491" s="1"/>
      <c r="B491" s="1"/>
      <c r="C491" s="1"/>
      <c r="D491" s="1"/>
      <c r="E491" s="1"/>
      <c r="F491" s="7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spans="1:22" ht="14.25" customHeight="1" x14ac:dyDescent="0.25">
      <c r="A492" s="1"/>
      <c r="B492" s="1"/>
      <c r="C492" s="1"/>
      <c r="D492" s="1"/>
      <c r="E492" s="1"/>
      <c r="F492" s="7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spans="1:22" ht="14.25" customHeight="1" x14ac:dyDescent="0.25">
      <c r="A493" s="1"/>
      <c r="B493" s="1"/>
      <c r="C493" s="1"/>
      <c r="D493" s="1"/>
      <c r="E493" s="1"/>
      <c r="F493" s="7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spans="1:22" ht="14.25" customHeight="1" x14ac:dyDescent="0.25">
      <c r="A494" s="1"/>
      <c r="B494" s="1"/>
      <c r="C494" s="1"/>
      <c r="D494" s="1"/>
      <c r="E494" s="1"/>
      <c r="F494" s="7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spans="1:22" ht="14.25" customHeight="1" x14ac:dyDescent="0.25">
      <c r="A495" s="1"/>
      <c r="B495" s="1"/>
      <c r="C495" s="1"/>
      <c r="D495" s="1"/>
      <c r="E495" s="1"/>
      <c r="F495" s="7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spans="1:22" ht="14.25" customHeight="1" x14ac:dyDescent="0.25">
      <c r="A496" s="1"/>
      <c r="B496" s="1"/>
      <c r="C496" s="1"/>
      <c r="D496" s="1"/>
      <c r="E496" s="1"/>
      <c r="F496" s="7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spans="1:22" ht="14.25" customHeight="1" x14ac:dyDescent="0.25">
      <c r="A497" s="1"/>
      <c r="B497" s="1"/>
      <c r="C497" s="1"/>
      <c r="D497" s="1"/>
      <c r="E497" s="1"/>
      <c r="F497" s="7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spans="1:22" ht="14.25" customHeight="1" x14ac:dyDescent="0.25">
      <c r="A498" s="1"/>
      <c r="B498" s="1"/>
      <c r="C498" s="1"/>
      <c r="D498" s="1"/>
      <c r="E498" s="1"/>
      <c r="F498" s="7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spans="1:22" ht="14.25" customHeight="1" x14ac:dyDescent="0.25">
      <c r="A499" s="1"/>
      <c r="B499" s="1"/>
      <c r="C499" s="1"/>
      <c r="D499" s="1"/>
      <c r="E499" s="1"/>
      <c r="F499" s="7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spans="1:22" ht="14.25" customHeight="1" x14ac:dyDescent="0.25">
      <c r="A500" s="1"/>
      <c r="B500" s="1"/>
      <c r="C500" s="1"/>
      <c r="D500" s="1"/>
      <c r="E500" s="1"/>
      <c r="F500" s="7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2" ht="14.25" customHeight="1" x14ac:dyDescent="0.25">
      <c r="A501" s="1"/>
      <c r="B501" s="1"/>
      <c r="C501" s="1"/>
      <c r="D501" s="1"/>
      <c r="E501" s="1"/>
      <c r="F501" s="7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2" ht="14.25" customHeight="1" x14ac:dyDescent="0.25">
      <c r="A502" s="1"/>
      <c r="B502" s="1"/>
      <c r="C502" s="1"/>
      <c r="D502" s="1"/>
      <c r="E502" s="1"/>
      <c r="F502" s="7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2" ht="14.25" customHeight="1" x14ac:dyDescent="0.25">
      <c r="A503" s="1"/>
      <c r="B503" s="1"/>
      <c r="C503" s="1"/>
      <c r="D503" s="1"/>
      <c r="E503" s="1"/>
      <c r="F503" s="7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2" ht="14.25" customHeight="1" x14ac:dyDescent="0.25">
      <c r="A504" s="1"/>
      <c r="B504" s="1"/>
      <c r="C504" s="1"/>
      <c r="D504" s="1"/>
      <c r="E504" s="1"/>
      <c r="F504" s="7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2" ht="14.25" customHeight="1" x14ac:dyDescent="0.25">
      <c r="A505" s="1"/>
      <c r="B505" s="1"/>
      <c r="C505" s="1"/>
      <c r="D505" s="1"/>
      <c r="E505" s="1"/>
      <c r="F505" s="7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2" ht="14.25" customHeight="1" x14ac:dyDescent="0.25">
      <c r="A506" s="1"/>
      <c r="B506" s="1"/>
      <c r="C506" s="1"/>
      <c r="D506" s="1"/>
      <c r="E506" s="1"/>
      <c r="F506" s="7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2" ht="14.25" customHeight="1" x14ac:dyDescent="0.25">
      <c r="A507" s="1"/>
      <c r="B507" s="1"/>
      <c r="C507" s="1"/>
      <c r="D507" s="1"/>
      <c r="E507" s="1"/>
      <c r="F507" s="7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2" ht="14.25" customHeight="1" x14ac:dyDescent="0.25">
      <c r="A508" s="1"/>
      <c r="B508" s="1"/>
      <c r="C508" s="1"/>
      <c r="D508" s="1"/>
      <c r="E508" s="1"/>
      <c r="F508" s="7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2" ht="14.25" customHeight="1" x14ac:dyDescent="0.25">
      <c r="A509" s="1"/>
      <c r="B509" s="1"/>
      <c r="C509" s="1"/>
      <c r="D509" s="1"/>
      <c r="E509" s="1"/>
      <c r="F509" s="7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2" ht="14.25" customHeight="1" x14ac:dyDescent="0.25">
      <c r="A510" s="1"/>
      <c r="B510" s="1"/>
      <c r="C510" s="1"/>
      <c r="D510" s="1"/>
      <c r="E510" s="1"/>
      <c r="F510" s="7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2" ht="14.25" customHeight="1" x14ac:dyDescent="0.25">
      <c r="A511" s="1"/>
      <c r="B511" s="1"/>
      <c r="C511" s="1"/>
      <c r="D511" s="1"/>
      <c r="E511" s="1"/>
      <c r="F511" s="7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2" ht="14.25" customHeight="1" x14ac:dyDescent="0.25">
      <c r="A512" s="1"/>
      <c r="B512" s="1"/>
      <c r="C512" s="1"/>
      <c r="D512" s="1"/>
      <c r="E512" s="1"/>
      <c r="F512" s="7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 x14ac:dyDescent="0.25">
      <c r="A513" s="1"/>
      <c r="B513" s="1"/>
      <c r="C513" s="1"/>
      <c r="D513" s="1"/>
      <c r="E513" s="1"/>
      <c r="F513" s="7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 x14ac:dyDescent="0.25">
      <c r="A514" s="1"/>
      <c r="B514" s="1"/>
      <c r="C514" s="1"/>
      <c r="D514" s="1"/>
      <c r="E514" s="1"/>
      <c r="F514" s="7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 x14ac:dyDescent="0.25">
      <c r="A515" s="1"/>
      <c r="B515" s="1"/>
      <c r="C515" s="1"/>
      <c r="D515" s="1"/>
      <c r="E515" s="1"/>
      <c r="F515" s="7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 x14ac:dyDescent="0.25">
      <c r="A516" s="1"/>
      <c r="B516" s="1"/>
      <c r="C516" s="1"/>
      <c r="D516" s="1"/>
      <c r="E516" s="1"/>
      <c r="F516" s="7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 x14ac:dyDescent="0.25">
      <c r="A517" s="1"/>
      <c r="B517" s="1"/>
      <c r="C517" s="1"/>
      <c r="D517" s="1"/>
      <c r="E517" s="1"/>
      <c r="F517" s="7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 x14ac:dyDescent="0.25">
      <c r="A518" s="1"/>
      <c r="B518" s="1"/>
      <c r="C518" s="1"/>
      <c r="D518" s="1"/>
      <c r="E518" s="1"/>
      <c r="F518" s="7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 x14ac:dyDescent="0.25">
      <c r="A519" s="1"/>
      <c r="B519" s="1"/>
      <c r="C519" s="1"/>
      <c r="D519" s="1"/>
      <c r="E519" s="1"/>
      <c r="F519" s="7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 x14ac:dyDescent="0.25">
      <c r="A520" s="1"/>
      <c r="B520" s="1"/>
      <c r="C520" s="1"/>
      <c r="D520" s="1"/>
      <c r="E520" s="1"/>
      <c r="F520" s="7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 x14ac:dyDescent="0.25">
      <c r="A521" s="1"/>
      <c r="B521" s="1"/>
      <c r="C521" s="1"/>
      <c r="D521" s="1"/>
      <c r="E521" s="1"/>
      <c r="F521" s="7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 x14ac:dyDescent="0.25">
      <c r="A522" s="1"/>
      <c r="B522" s="1"/>
      <c r="C522" s="1"/>
      <c r="D522" s="1"/>
      <c r="E522" s="1"/>
      <c r="F522" s="7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 x14ac:dyDescent="0.25">
      <c r="A523" s="1"/>
      <c r="B523" s="1"/>
      <c r="C523" s="1"/>
      <c r="D523" s="1"/>
      <c r="E523" s="1"/>
      <c r="F523" s="7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 x14ac:dyDescent="0.25">
      <c r="A524" s="1"/>
      <c r="B524" s="1"/>
      <c r="C524" s="1"/>
      <c r="D524" s="1"/>
      <c r="E524" s="1"/>
      <c r="F524" s="7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 x14ac:dyDescent="0.25">
      <c r="A525" s="1"/>
      <c r="B525" s="1"/>
      <c r="C525" s="1"/>
      <c r="D525" s="1"/>
      <c r="E525" s="1"/>
      <c r="F525" s="7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 x14ac:dyDescent="0.25">
      <c r="A526" s="1"/>
      <c r="B526" s="1"/>
      <c r="C526" s="1"/>
      <c r="D526" s="1"/>
      <c r="E526" s="1"/>
      <c r="F526" s="7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 x14ac:dyDescent="0.25">
      <c r="A527" s="1"/>
      <c r="B527" s="1"/>
      <c r="C527" s="1"/>
      <c r="D527" s="1"/>
      <c r="E527" s="1"/>
      <c r="F527" s="7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 x14ac:dyDescent="0.25">
      <c r="A528" s="1"/>
      <c r="B528" s="1"/>
      <c r="C528" s="1"/>
      <c r="D528" s="1"/>
      <c r="E528" s="1"/>
      <c r="F528" s="7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 x14ac:dyDescent="0.25">
      <c r="A529" s="1"/>
      <c r="B529" s="1"/>
      <c r="C529" s="1"/>
      <c r="D529" s="1"/>
      <c r="E529" s="1"/>
      <c r="F529" s="7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 x14ac:dyDescent="0.25">
      <c r="A530" s="1"/>
      <c r="B530" s="1"/>
      <c r="C530" s="1"/>
      <c r="D530" s="1"/>
      <c r="E530" s="1"/>
      <c r="F530" s="7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 x14ac:dyDescent="0.25">
      <c r="A531" s="1"/>
      <c r="B531" s="1"/>
      <c r="C531" s="1"/>
      <c r="D531" s="1"/>
      <c r="E531" s="1"/>
      <c r="F531" s="7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 x14ac:dyDescent="0.25">
      <c r="A532" s="1"/>
      <c r="B532" s="1"/>
      <c r="C532" s="1"/>
      <c r="D532" s="1"/>
      <c r="E532" s="1"/>
      <c r="F532" s="7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 x14ac:dyDescent="0.25">
      <c r="A533" s="1"/>
      <c r="B533" s="1"/>
      <c r="C533" s="1"/>
      <c r="D533" s="1"/>
      <c r="E533" s="1"/>
      <c r="F533" s="7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 x14ac:dyDescent="0.25">
      <c r="A534" s="1"/>
      <c r="B534" s="1"/>
      <c r="C534" s="1"/>
      <c r="D534" s="1"/>
      <c r="E534" s="1"/>
      <c r="F534" s="7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 x14ac:dyDescent="0.25">
      <c r="A535" s="1"/>
      <c r="B535" s="1"/>
      <c r="C535" s="1"/>
      <c r="D535" s="1"/>
      <c r="E535" s="1"/>
      <c r="F535" s="7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 x14ac:dyDescent="0.25">
      <c r="A536" s="1"/>
      <c r="B536" s="1"/>
      <c r="C536" s="1"/>
      <c r="D536" s="1"/>
      <c r="E536" s="1"/>
      <c r="F536" s="7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 x14ac:dyDescent="0.25">
      <c r="A537" s="1"/>
      <c r="B537" s="1"/>
      <c r="C537" s="1"/>
      <c r="D537" s="1"/>
      <c r="E537" s="1"/>
      <c r="F537" s="7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 x14ac:dyDescent="0.25">
      <c r="A538" s="1"/>
      <c r="B538" s="1"/>
      <c r="C538" s="1"/>
      <c r="D538" s="1"/>
      <c r="E538" s="1"/>
      <c r="F538" s="7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 x14ac:dyDescent="0.25">
      <c r="A539" s="1"/>
      <c r="B539" s="1"/>
      <c r="C539" s="1"/>
      <c r="D539" s="1"/>
      <c r="E539" s="1"/>
      <c r="F539" s="7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 x14ac:dyDescent="0.25">
      <c r="A540" s="1"/>
      <c r="B540" s="1"/>
      <c r="C540" s="1"/>
      <c r="D540" s="1"/>
      <c r="E540" s="1"/>
      <c r="F540" s="7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 x14ac:dyDescent="0.25">
      <c r="A541" s="1"/>
      <c r="B541" s="1"/>
      <c r="C541" s="1"/>
      <c r="D541" s="1"/>
      <c r="E541" s="1"/>
      <c r="F541" s="7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 x14ac:dyDescent="0.25">
      <c r="A542" s="1"/>
      <c r="B542" s="1"/>
      <c r="C542" s="1"/>
      <c r="D542" s="1"/>
      <c r="E542" s="1"/>
      <c r="F542" s="7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 x14ac:dyDescent="0.25">
      <c r="A543" s="1"/>
      <c r="B543" s="1"/>
      <c r="C543" s="1"/>
      <c r="D543" s="1"/>
      <c r="E543" s="1"/>
      <c r="F543" s="7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 x14ac:dyDescent="0.25">
      <c r="A544" s="1"/>
      <c r="B544" s="1"/>
      <c r="C544" s="1"/>
      <c r="D544" s="1"/>
      <c r="E544" s="1"/>
      <c r="F544" s="7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 x14ac:dyDescent="0.25">
      <c r="A545" s="1"/>
      <c r="B545" s="1"/>
      <c r="C545" s="1"/>
      <c r="D545" s="1"/>
      <c r="E545" s="1"/>
      <c r="F545" s="7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 x14ac:dyDescent="0.25">
      <c r="A546" s="1"/>
      <c r="B546" s="1"/>
      <c r="C546" s="1"/>
      <c r="D546" s="1"/>
      <c r="E546" s="1"/>
      <c r="F546" s="7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 x14ac:dyDescent="0.25">
      <c r="A547" s="1"/>
      <c r="B547" s="1"/>
      <c r="C547" s="1"/>
      <c r="D547" s="1"/>
      <c r="E547" s="1"/>
      <c r="F547" s="7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 x14ac:dyDescent="0.25">
      <c r="A548" s="1"/>
      <c r="B548" s="1"/>
      <c r="C548" s="1"/>
      <c r="D548" s="1"/>
      <c r="E548" s="1"/>
      <c r="F548" s="7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 x14ac:dyDescent="0.25">
      <c r="A549" s="1"/>
      <c r="B549" s="1"/>
      <c r="C549" s="1"/>
      <c r="D549" s="1"/>
      <c r="E549" s="1"/>
      <c r="F549" s="7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 x14ac:dyDescent="0.25">
      <c r="A550" s="1"/>
      <c r="B550" s="1"/>
      <c r="C550" s="1"/>
      <c r="D550" s="1"/>
      <c r="E550" s="1"/>
      <c r="F550" s="7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 x14ac:dyDescent="0.25">
      <c r="A551" s="1"/>
      <c r="B551" s="1"/>
      <c r="C551" s="1"/>
      <c r="D551" s="1"/>
      <c r="E551" s="1"/>
      <c r="F551" s="7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 x14ac:dyDescent="0.25">
      <c r="A552" s="1"/>
      <c r="B552" s="1"/>
      <c r="C552" s="1"/>
      <c r="D552" s="1"/>
      <c r="E552" s="1"/>
      <c r="F552" s="7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 x14ac:dyDescent="0.25">
      <c r="A553" s="1"/>
      <c r="B553" s="1"/>
      <c r="C553" s="1"/>
      <c r="D553" s="1"/>
      <c r="E553" s="1"/>
      <c r="F553" s="7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 x14ac:dyDescent="0.25">
      <c r="A554" s="1"/>
      <c r="B554" s="1"/>
      <c r="C554" s="1"/>
      <c r="D554" s="1"/>
      <c r="E554" s="1"/>
      <c r="F554" s="7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 x14ac:dyDescent="0.25">
      <c r="A555" s="1"/>
      <c r="B555" s="1"/>
      <c r="C555" s="1"/>
      <c r="D555" s="1"/>
      <c r="E555" s="1"/>
      <c r="F555" s="7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 x14ac:dyDescent="0.25">
      <c r="A556" s="1"/>
      <c r="B556" s="1"/>
      <c r="C556" s="1"/>
      <c r="D556" s="1"/>
      <c r="E556" s="1"/>
      <c r="F556" s="7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</sheetData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8FA14-CFC5-493E-8567-C1D26FA9E3C8}">
  <dimension ref="A1"/>
  <sheetViews>
    <sheetView workbookViewId="0">
      <selection activeCell="I1" sqref="I1:I104857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D0 &amp; Q</vt:lpstr>
      <vt:lpstr>AgCu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Butler</dc:creator>
  <cp:lastModifiedBy>ustcw</cp:lastModifiedBy>
  <dcterms:created xsi:type="dcterms:W3CDTF">2021-08-09T19:21:52Z</dcterms:created>
  <dcterms:modified xsi:type="dcterms:W3CDTF">2023-06-05T15:27:23Z</dcterms:modified>
</cp:coreProperties>
</file>