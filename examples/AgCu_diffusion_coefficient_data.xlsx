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tcw\Desktop\Research\DCModeling\examples\"/>
    </mc:Choice>
  </mc:AlternateContent>
  <xr:revisionPtr revIDLastSave="0" documentId="13_ncr:1_{D71E98A1-6182-4DBF-8E64-A808A8E1229A}" xr6:coauthVersionLast="47" xr6:coauthVersionMax="47" xr10:uidLastSave="{00000000-0000-0000-0000-000000000000}"/>
  <bookViews>
    <workbookView xWindow="960" yWindow="1155" windowWidth="18735" windowHeight="14955" xr2:uid="{00000000-000D-0000-FFFF-FFFF00000000}"/>
  </bookViews>
  <sheets>
    <sheet name="AgCu" sheetId="3" r:id="rId1"/>
    <sheet name="D0 &amp; Q" sheetId="1" r:id="rId2"/>
    <sheet name="AgCu_raw fi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K3+zdkv0mDt+4+cM4xHk31zbCpw=="/>
    </ext>
  </extLst>
</workbook>
</file>

<file path=xl/calcChain.xml><?xml version="1.0" encoding="utf-8"?>
<calcChain xmlns="http://schemas.openxmlformats.org/spreadsheetml/2006/main">
  <c r="F87" i="2" l="1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86" i="2"/>
  <c r="L2" i="2"/>
  <c r="L3" i="2"/>
  <c r="F3" i="2" s="1"/>
  <c r="L4" i="2"/>
  <c r="L5" i="2"/>
  <c r="L6" i="2"/>
  <c r="L7" i="2"/>
  <c r="L8" i="2"/>
  <c r="L9" i="2"/>
  <c r="F9" i="2" s="1"/>
  <c r="L10" i="2"/>
  <c r="L11" i="2"/>
  <c r="L12" i="2"/>
  <c r="L13" i="2"/>
  <c r="L14" i="2"/>
  <c r="L15" i="2"/>
  <c r="F15" i="2" s="1"/>
  <c r="L16" i="2"/>
  <c r="L17" i="2"/>
  <c r="L18" i="2"/>
  <c r="L19" i="2"/>
  <c r="L20" i="2"/>
  <c r="L21" i="2"/>
  <c r="F21" i="2" s="1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J69" i="2"/>
  <c r="E69" i="2" s="1"/>
  <c r="L69" i="2"/>
  <c r="J70" i="2"/>
  <c r="L70" i="2"/>
  <c r="J71" i="2"/>
  <c r="L71" i="2"/>
  <c r="J72" i="2"/>
  <c r="E72" i="2" s="1"/>
  <c r="L72" i="2"/>
  <c r="J73" i="2"/>
  <c r="L73" i="2"/>
  <c r="J74" i="2"/>
  <c r="L74" i="2"/>
  <c r="J75" i="2"/>
  <c r="E75" i="2" s="1"/>
  <c r="L75" i="2"/>
  <c r="J76" i="2"/>
  <c r="L76" i="2"/>
  <c r="J77" i="2"/>
  <c r="L77" i="2"/>
  <c r="J78" i="2"/>
  <c r="E78" i="2" s="1"/>
  <c r="L78" i="2"/>
  <c r="J79" i="2"/>
  <c r="L79" i="2"/>
  <c r="J80" i="2"/>
  <c r="L80" i="2"/>
  <c r="J81" i="2"/>
  <c r="E81" i="2" s="1"/>
  <c r="L81" i="2"/>
  <c r="J82" i="2"/>
  <c r="L82" i="2"/>
  <c r="J83" i="2"/>
  <c r="L83" i="2"/>
  <c r="J84" i="2"/>
  <c r="E84" i="2" s="1"/>
  <c r="L84" i="2"/>
  <c r="J85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69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86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24" i="2"/>
  <c r="E70" i="2"/>
  <c r="E71" i="2"/>
  <c r="E73" i="2"/>
  <c r="E74" i="2"/>
  <c r="E76" i="2"/>
  <c r="E77" i="2"/>
  <c r="E79" i="2"/>
  <c r="E80" i="2"/>
  <c r="E82" i="2"/>
  <c r="E83" i="2"/>
  <c r="E85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69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25" i="2"/>
  <c r="E26" i="2"/>
  <c r="E27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24" i="2"/>
  <c r="F4" i="2"/>
  <c r="F5" i="2"/>
  <c r="F6" i="2"/>
  <c r="F7" i="2"/>
  <c r="F8" i="2"/>
  <c r="F10" i="2"/>
  <c r="F11" i="2"/>
  <c r="F12" i="2"/>
  <c r="F13" i="2"/>
  <c r="F14" i="2"/>
  <c r="F16" i="2"/>
  <c r="F17" i="2"/>
  <c r="F18" i="2"/>
  <c r="F19" i="2"/>
  <c r="F20" i="2"/>
  <c r="F22" i="2"/>
  <c r="F23" i="2"/>
  <c r="F2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tc={35E1842A-8B8F-492D-B8B5-265C1A78C8CE}</author>
  </authors>
  <commentList>
    <comment ref="I69" authorId="0" shapeId="0" xr:uid="{35E1842A-8B8F-492D-B8B5-265C1A78C8CE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10000 / T</t>
      </text>
    </comment>
  </commentList>
</comments>
</file>

<file path=xl/sharedStrings.xml><?xml version="1.0" encoding="utf-8"?>
<sst xmlns="http://schemas.openxmlformats.org/spreadsheetml/2006/main" count="836" uniqueCount="32">
  <si>
    <t>Literature</t>
  </si>
  <si>
    <t>Element</t>
  </si>
  <si>
    <t>at%</t>
  </si>
  <si>
    <t>D0 (m^2/s)</t>
  </si>
  <si>
    <t>Q (J/mol)</t>
  </si>
  <si>
    <t>Notes</t>
  </si>
  <si>
    <t xml:space="preserve"> </t>
  </si>
  <si>
    <t>A</t>
  </si>
  <si>
    <t>Al</t>
  </si>
  <si>
    <t>B</t>
  </si>
  <si>
    <t>Ni</t>
  </si>
  <si>
    <t>atomic or mole percent of first element</t>
  </si>
  <si>
    <t>Dtype</t>
  </si>
  <si>
    <t>Dexp</t>
  </si>
  <si>
    <t>DT</t>
  </si>
  <si>
    <t>DC</t>
  </si>
  <si>
    <t>T_C</t>
  </si>
  <si>
    <t>A_mp</t>
  </si>
  <si>
    <t>Weight</t>
  </si>
  <si>
    <t>TF</t>
  </si>
  <si>
    <t>Cu_mp</t>
  </si>
  <si>
    <t>log D_Ag</t>
  </si>
  <si>
    <t>D_Ag</t>
  </si>
  <si>
    <t>T_K</t>
  </si>
  <si>
    <t>Sato et al.</t>
  </si>
  <si>
    <t>Patil &amp; Sharma</t>
  </si>
  <si>
    <t>Ag_mp and interD</t>
  </si>
  <si>
    <t>Barreau et al.</t>
  </si>
  <si>
    <t>AB</t>
  </si>
  <si>
    <t>Hoffman et al.</t>
  </si>
  <si>
    <t>interD from original article</t>
  </si>
  <si>
    <t>Oikawa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</si>
</sst>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angye Wang" id="{ECD6C461-6B5B-4FDC-8624-73E2A25E43E4}" userId="S::wang133@umd.edu::be2e3070-75a9-49b4-9085-1772530f6be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9" dT="2023-05-02T14:15:25.63" personId="{ECD6C461-6B5B-4FDC-8624-73E2A25E43E4}" id="{35E1842A-8B8F-492D-B8B5-265C1A78C8CE}">
    <text>10000 / T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FA14-CFC5-493E-8567-C1D26FA9E3C8}">
  <dimension ref="A1:H130"/>
  <sheetViews>
    <sheetView tabSelected="1" workbookViewId="0">
      <selection activeCell="M9" sqref="M9"/>
    </sheetView>
  </sheetViews>
  <sheetFormatPr defaultRowHeight="15" x14ac:dyDescent="0.25"/>
  <cols>
    <col min="1" max="1" width="20.85546875" customWidth="1"/>
  </cols>
  <sheetData>
    <row r="1" spans="1:8" x14ac:dyDescent="0.25">
      <c r="A1" t="s">
        <v>0</v>
      </c>
      <c r="B1" t="s">
        <v>12</v>
      </c>
      <c r="C1" t="s">
        <v>1</v>
      </c>
      <c r="D1" t="s">
        <v>17</v>
      </c>
      <c r="E1" t="s">
        <v>16</v>
      </c>
      <c r="F1" t="s">
        <v>13</v>
      </c>
      <c r="G1" t="s">
        <v>19</v>
      </c>
      <c r="H1" t="s">
        <v>18</v>
      </c>
    </row>
    <row r="2" spans="1:8" x14ac:dyDescent="0.25">
      <c r="A2" t="s">
        <v>24</v>
      </c>
      <c r="B2" t="s">
        <v>14</v>
      </c>
      <c r="C2" t="s">
        <v>7</v>
      </c>
      <c r="D2">
        <v>99.164677999999995</v>
      </c>
      <c r="E2">
        <v>850</v>
      </c>
      <c r="F2">
        <v>1.0799409266631026E-13</v>
      </c>
      <c r="H2">
        <v>1</v>
      </c>
    </row>
    <row r="3" spans="1:8" x14ac:dyDescent="0.25">
      <c r="A3" t="s">
        <v>24</v>
      </c>
      <c r="B3" t="s">
        <v>14</v>
      </c>
      <c r="C3" t="s">
        <v>7</v>
      </c>
      <c r="D3">
        <v>97.446299999999994</v>
      </c>
      <c r="E3">
        <v>850</v>
      </c>
      <c r="F3">
        <v>1.4531150472893862E-13</v>
      </c>
      <c r="H3">
        <v>1</v>
      </c>
    </row>
    <row r="4" spans="1:8" x14ac:dyDescent="0.25">
      <c r="A4" t="s">
        <v>24</v>
      </c>
      <c r="B4" t="s">
        <v>14</v>
      </c>
      <c r="C4" t="s">
        <v>7</v>
      </c>
      <c r="D4">
        <v>96.634839999999997</v>
      </c>
      <c r="E4">
        <v>850</v>
      </c>
      <c r="F4">
        <v>1.630797361023593E-13</v>
      </c>
      <c r="H4">
        <v>1</v>
      </c>
    </row>
    <row r="5" spans="1:8" x14ac:dyDescent="0.25">
      <c r="A5" t="s">
        <v>24</v>
      </c>
      <c r="B5" t="s">
        <v>14</v>
      </c>
      <c r="C5" t="s">
        <v>7</v>
      </c>
      <c r="D5">
        <v>99.164677999999995</v>
      </c>
      <c r="E5">
        <v>820</v>
      </c>
      <c r="F5">
        <v>6.1659500186147887E-14</v>
      </c>
      <c r="H5">
        <v>1</v>
      </c>
    </row>
    <row r="6" spans="1:8" x14ac:dyDescent="0.25">
      <c r="A6" t="s">
        <v>24</v>
      </c>
      <c r="B6" t="s">
        <v>14</v>
      </c>
      <c r="C6" t="s">
        <v>7</v>
      </c>
      <c r="D6">
        <v>97.446299999999994</v>
      </c>
      <c r="E6">
        <v>820</v>
      </c>
      <c r="F6">
        <v>8.4333475776427351E-14</v>
      </c>
      <c r="H6">
        <v>1</v>
      </c>
    </row>
    <row r="7" spans="1:8" x14ac:dyDescent="0.25">
      <c r="A7" t="s">
        <v>24</v>
      </c>
      <c r="B7" t="s">
        <v>14</v>
      </c>
      <c r="C7" t="s">
        <v>7</v>
      </c>
      <c r="D7">
        <v>96.634839999999997</v>
      </c>
      <c r="E7">
        <v>820</v>
      </c>
      <c r="F7">
        <v>9.3110787546782652E-14</v>
      </c>
      <c r="H7">
        <v>1</v>
      </c>
    </row>
    <row r="8" spans="1:8" x14ac:dyDescent="0.25">
      <c r="A8" t="s">
        <v>24</v>
      </c>
      <c r="B8" t="s">
        <v>14</v>
      </c>
      <c r="C8" t="s">
        <v>7</v>
      </c>
      <c r="D8">
        <v>99.164677999999995</v>
      </c>
      <c r="E8">
        <v>795</v>
      </c>
      <c r="F8">
        <v>3.8220819974268112E-14</v>
      </c>
      <c r="H8">
        <v>1</v>
      </c>
    </row>
    <row r="9" spans="1:8" x14ac:dyDescent="0.25">
      <c r="A9" t="s">
        <v>24</v>
      </c>
      <c r="B9" t="s">
        <v>14</v>
      </c>
      <c r="C9" t="s">
        <v>7</v>
      </c>
      <c r="D9">
        <v>97.446299999999994</v>
      </c>
      <c r="E9">
        <v>795</v>
      </c>
      <c r="F9">
        <v>5.2287755531344038E-14</v>
      </c>
      <c r="H9">
        <v>1</v>
      </c>
    </row>
    <row r="10" spans="1:8" x14ac:dyDescent="0.25">
      <c r="A10" t="s">
        <v>24</v>
      </c>
      <c r="B10" t="s">
        <v>14</v>
      </c>
      <c r="C10" t="s">
        <v>7</v>
      </c>
      <c r="D10">
        <v>96.634839999999997</v>
      </c>
      <c r="E10">
        <v>795</v>
      </c>
      <c r="F10">
        <v>5.5847019473682887E-14</v>
      </c>
      <c r="H10">
        <v>1</v>
      </c>
    </row>
    <row r="11" spans="1:8" x14ac:dyDescent="0.25">
      <c r="A11" t="s">
        <v>24</v>
      </c>
      <c r="B11" t="s">
        <v>14</v>
      </c>
      <c r="C11" t="s">
        <v>7</v>
      </c>
      <c r="D11">
        <v>99.164677999999995</v>
      </c>
      <c r="E11">
        <v>690</v>
      </c>
      <c r="F11">
        <v>4.4096081645063685E-15</v>
      </c>
      <c r="H11">
        <v>1</v>
      </c>
    </row>
    <row r="12" spans="1:8" x14ac:dyDescent="0.25">
      <c r="A12" t="s">
        <v>24</v>
      </c>
      <c r="B12" t="s">
        <v>14</v>
      </c>
      <c r="C12" t="s">
        <v>7</v>
      </c>
      <c r="D12">
        <v>97.446299999999994</v>
      </c>
      <c r="E12">
        <v>690</v>
      </c>
      <c r="F12">
        <v>5.9333504438000502E-15</v>
      </c>
      <c r="H12">
        <v>1</v>
      </c>
    </row>
    <row r="13" spans="1:8" x14ac:dyDescent="0.25">
      <c r="A13" t="s">
        <v>24</v>
      </c>
      <c r="B13" t="s">
        <v>14</v>
      </c>
      <c r="C13" t="s">
        <v>7</v>
      </c>
      <c r="D13">
        <v>96.634839999999997</v>
      </c>
      <c r="E13">
        <v>690</v>
      </c>
      <c r="F13">
        <v>6.9968086997856117E-15</v>
      </c>
      <c r="H13">
        <v>1</v>
      </c>
    </row>
    <row r="14" spans="1:8" x14ac:dyDescent="0.25">
      <c r="A14" t="s">
        <v>25</v>
      </c>
      <c r="B14" t="s">
        <v>14</v>
      </c>
      <c r="C14" t="s">
        <v>7</v>
      </c>
      <c r="D14">
        <v>97.470169999999996</v>
      </c>
      <c r="E14">
        <v>780</v>
      </c>
      <c r="F14">
        <v>5.4038091207907503E-14</v>
      </c>
      <c r="H14">
        <v>1</v>
      </c>
    </row>
    <row r="15" spans="1:8" x14ac:dyDescent="0.25">
      <c r="A15" t="s">
        <v>25</v>
      </c>
      <c r="B15" t="s">
        <v>14</v>
      </c>
      <c r="C15" t="s">
        <v>7</v>
      </c>
      <c r="D15">
        <v>97.470169999999996</v>
      </c>
      <c r="E15">
        <v>780</v>
      </c>
      <c r="F15">
        <v>4.8150411165566591E-14</v>
      </c>
      <c r="H15">
        <v>1</v>
      </c>
    </row>
    <row r="16" spans="1:8" x14ac:dyDescent="0.25">
      <c r="A16" t="s">
        <v>25</v>
      </c>
      <c r="B16" t="s">
        <v>14</v>
      </c>
      <c r="C16" t="s">
        <v>7</v>
      </c>
      <c r="D16">
        <v>95.560860000000005</v>
      </c>
      <c r="E16">
        <v>780</v>
      </c>
      <c r="F16">
        <v>5.6780602954866331E-14</v>
      </c>
      <c r="H16">
        <v>1</v>
      </c>
    </row>
    <row r="17" spans="1:8" x14ac:dyDescent="0.25">
      <c r="A17" t="s">
        <v>25</v>
      </c>
      <c r="B17" t="s">
        <v>14</v>
      </c>
      <c r="C17" t="s">
        <v>7</v>
      </c>
      <c r="D17">
        <v>97.470169999999996</v>
      </c>
      <c r="E17">
        <v>748</v>
      </c>
      <c r="F17">
        <v>2.3697361843832111E-14</v>
      </c>
      <c r="H17">
        <v>1</v>
      </c>
    </row>
    <row r="18" spans="1:8" x14ac:dyDescent="0.25">
      <c r="A18" t="s">
        <v>25</v>
      </c>
      <c r="B18" t="s">
        <v>14</v>
      </c>
      <c r="C18" t="s">
        <v>7</v>
      </c>
      <c r="D18">
        <v>95.560860000000005</v>
      </c>
      <c r="E18">
        <v>748</v>
      </c>
      <c r="F18">
        <v>3.1885996933863749E-14</v>
      </c>
      <c r="H18">
        <v>1</v>
      </c>
    </row>
    <row r="19" spans="1:8" x14ac:dyDescent="0.25">
      <c r="A19" t="s">
        <v>25</v>
      </c>
      <c r="B19" t="s">
        <v>14</v>
      </c>
      <c r="C19" t="s">
        <v>7</v>
      </c>
      <c r="D19">
        <v>95.560860000000005</v>
      </c>
      <c r="E19">
        <v>748</v>
      </c>
      <c r="F19">
        <v>2.8880186935140402E-14</v>
      </c>
      <c r="H19">
        <v>1</v>
      </c>
    </row>
    <row r="20" spans="1:8" x14ac:dyDescent="0.25">
      <c r="A20" t="s">
        <v>25</v>
      </c>
      <c r="B20" t="s">
        <v>14</v>
      </c>
      <c r="C20" t="s">
        <v>7</v>
      </c>
      <c r="D20">
        <v>97.470169999999996</v>
      </c>
      <c r="E20">
        <v>653</v>
      </c>
      <c r="F20">
        <v>2.8255305024595566E-15</v>
      </c>
      <c r="H20">
        <v>1</v>
      </c>
    </row>
    <row r="21" spans="1:8" x14ac:dyDescent="0.25">
      <c r="A21" t="s">
        <v>25</v>
      </c>
      <c r="B21" t="s">
        <v>14</v>
      </c>
      <c r="C21" t="s">
        <v>7</v>
      </c>
      <c r="D21">
        <v>97.470169999999996</v>
      </c>
      <c r="E21">
        <v>653</v>
      </c>
      <c r="F21">
        <v>2.5591750909098789E-15</v>
      </c>
      <c r="H21">
        <v>1</v>
      </c>
    </row>
    <row r="22" spans="1:8" x14ac:dyDescent="0.25">
      <c r="A22" t="s">
        <v>25</v>
      </c>
      <c r="B22" t="s">
        <v>14</v>
      </c>
      <c r="C22" t="s">
        <v>7</v>
      </c>
      <c r="D22">
        <v>95.560860000000005</v>
      </c>
      <c r="E22">
        <v>653</v>
      </c>
      <c r="F22">
        <v>3.1710274389478838E-15</v>
      </c>
      <c r="H22">
        <v>1</v>
      </c>
    </row>
    <row r="23" spans="1:8" x14ac:dyDescent="0.25">
      <c r="A23" t="s">
        <v>25</v>
      </c>
      <c r="B23" t="s">
        <v>14</v>
      </c>
      <c r="C23" t="s">
        <v>7</v>
      </c>
      <c r="D23">
        <v>95.560860000000005</v>
      </c>
      <c r="E23">
        <v>653</v>
      </c>
      <c r="F23">
        <v>2.7790732888090861E-15</v>
      </c>
      <c r="H23">
        <v>1</v>
      </c>
    </row>
    <row r="24" spans="1:8" x14ac:dyDescent="0.25">
      <c r="A24" t="s">
        <v>27</v>
      </c>
      <c r="B24" t="s">
        <v>15</v>
      </c>
      <c r="C24" t="s">
        <v>28</v>
      </c>
      <c r="D24">
        <v>0</v>
      </c>
      <c r="E24">
        <v>1000</v>
      </c>
      <c r="F24">
        <v>5.9000000000000001E-13</v>
      </c>
      <c r="H24">
        <v>1</v>
      </c>
    </row>
    <row r="25" spans="1:8" x14ac:dyDescent="0.25">
      <c r="A25" t="s">
        <v>27</v>
      </c>
      <c r="B25" t="s">
        <v>15</v>
      </c>
      <c r="C25" t="s">
        <v>28</v>
      </c>
      <c r="D25">
        <v>0.5</v>
      </c>
      <c r="E25">
        <v>1000</v>
      </c>
      <c r="F25">
        <v>6.4E-13</v>
      </c>
      <c r="H25">
        <v>1</v>
      </c>
    </row>
    <row r="26" spans="1:8" x14ac:dyDescent="0.25">
      <c r="A26" t="s">
        <v>27</v>
      </c>
      <c r="B26" t="s">
        <v>15</v>
      </c>
      <c r="C26" t="s">
        <v>28</v>
      </c>
      <c r="D26">
        <v>1</v>
      </c>
      <c r="E26">
        <v>1000</v>
      </c>
      <c r="F26">
        <v>6.3000000000000004E-13</v>
      </c>
      <c r="H26">
        <v>1</v>
      </c>
    </row>
    <row r="27" spans="1:8" x14ac:dyDescent="0.25">
      <c r="A27" t="s">
        <v>27</v>
      </c>
      <c r="B27" t="s">
        <v>15</v>
      </c>
      <c r="C27" t="s">
        <v>28</v>
      </c>
      <c r="D27">
        <v>1.5</v>
      </c>
      <c r="E27">
        <v>1000</v>
      </c>
      <c r="F27">
        <v>7.0000000000000005E-13</v>
      </c>
      <c r="H27">
        <v>1</v>
      </c>
    </row>
    <row r="28" spans="1:8" x14ac:dyDescent="0.25">
      <c r="A28" t="s">
        <v>27</v>
      </c>
      <c r="B28" t="s">
        <v>15</v>
      </c>
      <c r="C28" t="s">
        <v>28</v>
      </c>
      <c r="D28">
        <v>2</v>
      </c>
      <c r="E28">
        <v>1000</v>
      </c>
      <c r="F28">
        <v>7.1E-13</v>
      </c>
      <c r="H28">
        <v>1</v>
      </c>
    </row>
    <row r="29" spans="1:8" x14ac:dyDescent="0.25">
      <c r="A29" t="s">
        <v>27</v>
      </c>
      <c r="B29" t="s">
        <v>15</v>
      </c>
      <c r="C29" t="s">
        <v>28</v>
      </c>
      <c r="D29">
        <v>0</v>
      </c>
      <c r="E29">
        <v>949</v>
      </c>
      <c r="F29">
        <v>2.7000000000000001E-13</v>
      </c>
      <c r="H29">
        <v>1</v>
      </c>
    </row>
    <row r="30" spans="1:8" x14ac:dyDescent="0.25">
      <c r="A30" t="s">
        <v>27</v>
      </c>
      <c r="B30" t="s">
        <v>15</v>
      </c>
      <c r="C30" t="s">
        <v>28</v>
      </c>
      <c r="D30">
        <v>0.5</v>
      </c>
      <c r="E30">
        <v>949</v>
      </c>
      <c r="F30">
        <v>3.0999999999999999E-13</v>
      </c>
      <c r="H30">
        <v>1</v>
      </c>
    </row>
    <row r="31" spans="1:8" x14ac:dyDescent="0.25">
      <c r="A31" t="s">
        <v>27</v>
      </c>
      <c r="B31" t="s">
        <v>15</v>
      </c>
      <c r="C31" t="s">
        <v>28</v>
      </c>
      <c r="D31">
        <v>1</v>
      </c>
      <c r="E31">
        <v>949</v>
      </c>
      <c r="F31">
        <v>3.2E-13</v>
      </c>
      <c r="H31">
        <v>1</v>
      </c>
    </row>
    <row r="32" spans="1:8" x14ac:dyDescent="0.25">
      <c r="A32" t="s">
        <v>27</v>
      </c>
      <c r="B32" t="s">
        <v>15</v>
      </c>
      <c r="C32" t="s">
        <v>28</v>
      </c>
      <c r="D32">
        <v>1.5</v>
      </c>
      <c r="E32">
        <v>949</v>
      </c>
      <c r="F32">
        <v>3.5000000000000002E-13</v>
      </c>
      <c r="H32">
        <v>1</v>
      </c>
    </row>
    <row r="33" spans="1:8" x14ac:dyDescent="0.25">
      <c r="A33" t="s">
        <v>27</v>
      </c>
      <c r="B33" t="s">
        <v>15</v>
      </c>
      <c r="C33" t="s">
        <v>28</v>
      </c>
      <c r="D33">
        <v>2</v>
      </c>
      <c r="E33">
        <v>949</v>
      </c>
      <c r="F33">
        <v>3.3000000000000001E-13</v>
      </c>
      <c r="H33">
        <v>1</v>
      </c>
    </row>
    <row r="34" spans="1:8" x14ac:dyDescent="0.25">
      <c r="A34" t="s">
        <v>27</v>
      </c>
      <c r="B34" t="s">
        <v>15</v>
      </c>
      <c r="C34" t="s">
        <v>28</v>
      </c>
      <c r="D34">
        <v>0</v>
      </c>
      <c r="E34">
        <v>901</v>
      </c>
      <c r="F34">
        <v>1.3900000000000001E-13</v>
      </c>
      <c r="H34">
        <v>1</v>
      </c>
    </row>
    <row r="35" spans="1:8" x14ac:dyDescent="0.25">
      <c r="A35" t="s">
        <v>27</v>
      </c>
      <c r="B35" t="s">
        <v>15</v>
      </c>
      <c r="C35" t="s">
        <v>28</v>
      </c>
      <c r="D35">
        <v>0.5</v>
      </c>
      <c r="E35">
        <v>901</v>
      </c>
      <c r="F35">
        <v>1.54E-13</v>
      </c>
      <c r="H35">
        <v>1</v>
      </c>
    </row>
    <row r="36" spans="1:8" x14ac:dyDescent="0.25">
      <c r="A36" t="s">
        <v>27</v>
      </c>
      <c r="B36" t="s">
        <v>15</v>
      </c>
      <c r="C36" t="s">
        <v>28</v>
      </c>
      <c r="D36">
        <v>1</v>
      </c>
      <c r="E36">
        <v>901</v>
      </c>
      <c r="F36">
        <v>1.4999999999999999E-13</v>
      </c>
      <c r="H36">
        <v>1</v>
      </c>
    </row>
    <row r="37" spans="1:8" x14ac:dyDescent="0.25">
      <c r="A37" t="s">
        <v>27</v>
      </c>
      <c r="B37" t="s">
        <v>15</v>
      </c>
      <c r="C37" t="s">
        <v>28</v>
      </c>
      <c r="D37">
        <v>1.5</v>
      </c>
      <c r="E37">
        <v>901</v>
      </c>
      <c r="F37">
        <v>1.6399999999999998E-13</v>
      </c>
      <c r="H37">
        <v>1</v>
      </c>
    </row>
    <row r="38" spans="1:8" x14ac:dyDescent="0.25">
      <c r="A38" t="s">
        <v>27</v>
      </c>
      <c r="B38" t="s">
        <v>15</v>
      </c>
      <c r="C38" t="s">
        <v>28</v>
      </c>
      <c r="D38">
        <v>2</v>
      </c>
      <c r="E38">
        <v>901</v>
      </c>
      <c r="F38">
        <v>1.7299999999999999E-13</v>
      </c>
      <c r="H38">
        <v>1</v>
      </c>
    </row>
    <row r="39" spans="1:8" x14ac:dyDescent="0.25">
      <c r="A39" t="s">
        <v>27</v>
      </c>
      <c r="B39" t="s">
        <v>15</v>
      </c>
      <c r="C39" t="s">
        <v>28</v>
      </c>
      <c r="D39">
        <v>0</v>
      </c>
      <c r="E39">
        <v>859</v>
      </c>
      <c r="F39">
        <v>5.9999999999999997E-14</v>
      </c>
      <c r="H39">
        <v>1</v>
      </c>
    </row>
    <row r="40" spans="1:8" x14ac:dyDescent="0.25">
      <c r="A40" t="s">
        <v>27</v>
      </c>
      <c r="B40" t="s">
        <v>15</v>
      </c>
      <c r="C40" t="s">
        <v>28</v>
      </c>
      <c r="D40">
        <v>0.5</v>
      </c>
      <c r="E40">
        <v>859</v>
      </c>
      <c r="F40">
        <v>6.9000000000000009E-14</v>
      </c>
      <c r="H40">
        <v>1</v>
      </c>
    </row>
    <row r="41" spans="1:8" x14ac:dyDescent="0.25">
      <c r="A41" t="s">
        <v>27</v>
      </c>
      <c r="B41" t="s">
        <v>15</v>
      </c>
      <c r="C41" t="s">
        <v>28</v>
      </c>
      <c r="D41">
        <v>1</v>
      </c>
      <c r="E41">
        <v>859</v>
      </c>
      <c r="F41">
        <v>6.9000000000000009E-14</v>
      </c>
      <c r="H41">
        <v>1</v>
      </c>
    </row>
    <row r="42" spans="1:8" x14ac:dyDescent="0.25">
      <c r="A42" t="s">
        <v>27</v>
      </c>
      <c r="B42" t="s">
        <v>15</v>
      </c>
      <c r="C42" t="s">
        <v>28</v>
      </c>
      <c r="D42">
        <v>1.5</v>
      </c>
      <c r="E42">
        <v>859</v>
      </c>
      <c r="F42">
        <v>7.4999999999999996E-14</v>
      </c>
      <c r="H42">
        <v>1</v>
      </c>
    </row>
    <row r="43" spans="1:8" x14ac:dyDescent="0.25">
      <c r="A43" t="s">
        <v>27</v>
      </c>
      <c r="B43" t="s">
        <v>15</v>
      </c>
      <c r="C43" t="s">
        <v>28</v>
      </c>
      <c r="D43">
        <v>2</v>
      </c>
      <c r="E43">
        <v>859</v>
      </c>
      <c r="F43">
        <v>7.5999999999999992E-14</v>
      </c>
      <c r="H43">
        <v>1</v>
      </c>
    </row>
    <row r="44" spans="1:8" x14ac:dyDescent="0.25">
      <c r="A44" t="s">
        <v>27</v>
      </c>
      <c r="B44" t="s">
        <v>15</v>
      </c>
      <c r="C44" t="s">
        <v>28</v>
      </c>
      <c r="D44">
        <v>0</v>
      </c>
      <c r="E44">
        <v>827</v>
      </c>
      <c r="F44">
        <v>3.2000000000000002E-14</v>
      </c>
      <c r="H44">
        <v>1</v>
      </c>
    </row>
    <row r="45" spans="1:8" x14ac:dyDescent="0.25">
      <c r="A45" t="s">
        <v>27</v>
      </c>
      <c r="B45" t="s">
        <v>15</v>
      </c>
      <c r="C45" t="s">
        <v>28</v>
      </c>
      <c r="D45">
        <v>0.5</v>
      </c>
      <c r="E45">
        <v>827</v>
      </c>
      <c r="F45">
        <v>3.5000000000000002E-14</v>
      </c>
      <c r="H45">
        <v>1</v>
      </c>
    </row>
    <row r="46" spans="1:8" x14ac:dyDescent="0.25">
      <c r="A46" t="s">
        <v>27</v>
      </c>
      <c r="B46" t="s">
        <v>15</v>
      </c>
      <c r="C46" t="s">
        <v>28</v>
      </c>
      <c r="D46">
        <v>1</v>
      </c>
      <c r="E46">
        <v>827</v>
      </c>
      <c r="F46">
        <v>3.7999999999999996E-14</v>
      </c>
      <c r="H46">
        <v>1</v>
      </c>
    </row>
    <row r="47" spans="1:8" x14ac:dyDescent="0.25">
      <c r="A47" t="s">
        <v>27</v>
      </c>
      <c r="B47" t="s">
        <v>15</v>
      </c>
      <c r="C47" t="s">
        <v>28</v>
      </c>
      <c r="D47">
        <v>1.5</v>
      </c>
      <c r="E47">
        <v>827</v>
      </c>
      <c r="F47">
        <v>4.3E-14</v>
      </c>
      <c r="H47">
        <v>1</v>
      </c>
    </row>
    <row r="48" spans="1:8" x14ac:dyDescent="0.25">
      <c r="A48" t="s">
        <v>27</v>
      </c>
      <c r="B48" t="s">
        <v>15</v>
      </c>
      <c r="C48" t="s">
        <v>28</v>
      </c>
      <c r="D48">
        <v>2</v>
      </c>
      <c r="E48">
        <v>827</v>
      </c>
      <c r="F48">
        <v>4.0999999999999996E-14</v>
      </c>
      <c r="H48">
        <v>1</v>
      </c>
    </row>
    <row r="49" spans="1:8" x14ac:dyDescent="0.25">
      <c r="A49" t="s">
        <v>27</v>
      </c>
      <c r="B49" t="s">
        <v>15</v>
      </c>
      <c r="C49" t="s">
        <v>28</v>
      </c>
      <c r="D49">
        <v>0</v>
      </c>
      <c r="E49">
        <v>803</v>
      </c>
      <c r="F49">
        <v>2.2999999999999997E-14</v>
      </c>
      <c r="H49">
        <v>1</v>
      </c>
    </row>
    <row r="50" spans="1:8" x14ac:dyDescent="0.25">
      <c r="A50" t="s">
        <v>27</v>
      </c>
      <c r="B50" t="s">
        <v>15</v>
      </c>
      <c r="C50" t="s">
        <v>28</v>
      </c>
      <c r="D50">
        <v>0.5</v>
      </c>
      <c r="E50">
        <v>803</v>
      </c>
      <c r="F50">
        <v>2.6E-14</v>
      </c>
      <c r="H50">
        <v>1</v>
      </c>
    </row>
    <row r="51" spans="1:8" x14ac:dyDescent="0.25">
      <c r="A51" t="s">
        <v>27</v>
      </c>
      <c r="B51" t="s">
        <v>15</v>
      </c>
      <c r="C51" t="s">
        <v>28</v>
      </c>
      <c r="D51">
        <v>1</v>
      </c>
      <c r="E51">
        <v>803</v>
      </c>
      <c r="F51">
        <v>2.7000000000000002E-14</v>
      </c>
      <c r="H51">
        <v>1</v>
      </c>
    </row>
    <row r="52" spans="1:8" x14ac:dyDescent="0.25">
      <c r="A52" t="s">
        <v>27</v>
      </c>
      <c r="B52" t="s">
        <v>15</v>
      </c>
      <c r="C52" t="s">
        <v>28</v>
      </c>
      <c r="D52">
        <v>1.5</v>
      </c>
      <c r="E52">
        <v>803</v>
      </c>
      <c r="F52">
        <v>2.7000000000000002E-14</v>
      </c>
      <c r="H52">
        <v>1</v>
      </c>
    </row>
    <row r="53" spans="1:8" x14ac:dyDescent="0.25">
      <c r="A53" t="s">
        <v>27</v>
      </c>
      <c r="B53" t="s">
        <v>15</v>
      </c>
      <c r="C53" t="s">
        <v>28</v>
      </c>
      <c r="D53">
        <v>2</v>
      </c>
      <c r="E53">
        <v>803</v>
      </c>
      <c r="F53">
        <v>2.7999999999999997E-14</v>
      </c>
      <c r="H53">
        <v>1</v>
      </c>
    </row>
    <row r="54" spans="1:8" x14ac:dyDescent="0.25">
      <c r="A54" t="s">
        <v>27</v>
      </c>
      <c r="B54" t="s">
        <v>15</v>
      </c>
      <c r="C54" t="s">
        <v>28</v>
      </c>
      <c r="D54">
        <v>0</v>
      </c>
      <c r="E54">
        <v>750</v>
      </c>
      <c r="F54">
        <v>8.3999999999999992E-15</v>
      </c>
      <c r="H54">
        <v>1</v>
      </c>
    </row>
    <row r="55" spans="1:8" x14ac:dyDescent="0.25">
      <c r="A55" t="s">
        <v>27</v>
      </c>
      <c r="B55" t="s">
        <v>15</v>
      </c>
      <c r="C55" t="s">
        <v>28</v>
      </c>
      <c r="D55">
        <v>0.5</v>
      </c>
      <c r="E55">
        <v>750</v>
      </c>
      <c r="F55">
        <v>9.1999999999999996E-15</v>
      </c>
      <c r="H55">
        <v>1</v>
      </c>
    </row>
    <row r="56" spans="1:8" x14ac:dyDescent="0.25">
      <c r="A56" t="s">
        <v>27</v>
      </c>
      <c r="B56" t="s">
        <v>15</v>
      </c>
      <c r="C56" t="s">
        <v>28</v>
      </c>
      <c r="D56">
        <v>1</v>
      </c>
      <c r="E56">
        <v>750</v>
      </c>
      <c r="F56">
        <v>1.0500000000000001E-14</v>
      </c>
      <c r="H56">
        <v>1</v>
      </c>
    </row>
    <row r="57" spans="1:8" x14ac:dyDescent="0.25">
      <c r="A57" t="s">
        <v>27</v>
      </c>
      <c r="B57" t="s">
        <v>15</v>
      </c>
      <c r="C57" t="s">
        <v>28</v>
      </c>
      <c r="D57">
        <v>1.5</v>
      </c>
      <c r="E57">
        <v>750</v>
      </c>
      <c r="F57">
        <v>1.1100000000000001E-14</v>
      </c>
      <c r="H57">
        <v>1</v>
      </c>
    </row>
    <row r="58" spans="1:8" x14ac:dyDescent="0.25">
      <c r="A58" t="s">
        <v>27</v>
      </c>
      <c r="B58" t="s">
        <v>15</v>
      </c>
      <c r="C58" t="s">
        <v>28</v>
      </c>
      <c r="D58">
        <v>2</v>
      </c>
      <c r="E58">
        <v>750</v>
      </c>
      <c r="F58">
        <v>1.1399999999999999E-14</v>
      </c>
      <c r="H58">
        <v>1</v>
      </c>
    </row>
    <row r="59" spans="1:8" x14ac:dyDescent="0.25">
      <c r="A59" t="s">
        <v>27</v>
      </c>
      <c r="B59" t="s">
        <v>15</v>
      </c>
      <c r="C59" t="s">
        <v>28</v>
      </c>
      <c r="D59">
        <v>0</v>
      </c>
      <c r="E59">
        <v>729</v>
      </c>
      <c r="F59">
        <v>4.6999999999999999E-15</v>
      </c>
      <c r="H59">
        <v>1</v>
      </c>
    </row>
    <row r="60" spans="1:8" x14ac:dyDescent="0.25">
      <c r="A60" t="s">
        <v>27</v>
      </c>
      <c r="B60" t="s">
        <v>15</v>
      </c>
      <c r="C60" t="s">
        <v>28</v>
      </c>
      <c r="D60">
        <v>0.5</v>
      </c>
      <c r="E60">
        <v>729</v>
      </c>
      <c r="F60">
        <v>5.5000000000000002E-15</v>
      </c>
      <c r="H60">
        <v>1</v>
      </c>
    </row>
    <row r="61" spans="1:8" x14ac:dyDescent="0.25">
      <c r="A61" t="s">
        <v>27</v>
      </c>
      <c r="B61" t="s">
        <v>15</v>
      </c>
      <c r="C61" t="s">
        <v>28</v>
      </c>
      <c r="D61">
        <v>1</v>
      </c>
      <c r="E61">
        <v>729</v>
      </c>
      <c r="F61">
        <v>5.7999999999999996E-15</v>
      </c>
      <c r="H61">
        <v>1</v>
      </c>
    </row>
    <row r="62" spans="1:8" x14ac:dyDescent="0.25">
      <c r="A62" t="s">
        <v>27</v>
      </c>
      <c r="B62" t="s">
        <v>15</v>
      </c>
      <c r="C62" t="s">
        <v>28</v>
      </c>
      <c r="D62">
        <v>1.5</v>
      </c>
      <c r="E62">
        <v>729</v>
      </c>
      <c r="F62">
        <v>6.8999999999999993E-15</v>
      </c>
      <c r="H62">
        <v>1</v>
      </c>
    </row>
    <row r="63" spans="1:8" x14ac:dyDescent="0.25">
      <c r="A63" t="s">
        <v>27</v>
      </c>
      <c r="B63" t="s">
        <v>15</v>
      </c>
      <c r="C63" t="s">
        <v>28</v>
      </c>
      <c r="D63">
        <v>2</v>
      </c>
      <c r="E63">
        <v>729</v>
      </c>
      <c r="F63">
        <v>6.8000000000000008E-15</v>
      </c>
      <c r="H63">
        <v>1</v>
      </c>
    </row>
    <row r="64" spans="1:8" x14ac:dyDescent="0.25">
      <c r="A64" t="s">
        <v>27</v>
      </c>
      <c r="B64" t="s">
        <v>15</v>
      </c>
      <c r="C64" t="s">
        <v>28</v>
      </c>
      <c r="D64">
        <v>0</v>
      </c>
      <c r="E64">
        <v>701</v>
      </c>
      <c r="F64">
        <v>2.9999999999999998E-15</v>
      </c>
      <c r="H64">
        <v>1</v>
      </c>
    </row>
    <row r="65" spans="1:8" x14ac:dyDescent="0.25">
      <c r="A65" t="s">
        <v>27</v>
      </c>
      <c r="B65" t="s">
        <v>15</v>
      </c>
      <c r="C65" t="s">
        <v>28</v>
      </c>
      <c r="D65">
        <v>0.5</v>
      </c>
      <c r="E65">
        <v>701</v>
      </c>
      <c r="F65">
        <v>3.0999999999999999E-15</v>
      </c>
      <c r="H65">
        <v>1</v>
      </c>
    </row>
    <row r="66" spans="1:8" x14ac:dyDescent="0.25">
      <c r="A66" t="s">
        <v>27</v>
      </c>
      <c r="B66" t="s">
        <v>15</v>
      </c>
      <c r="C66" t="s">
        <v>28</v>
      </c>
      <c r="D66">
        <v>1</v>
      </c>
      <c r="E66">
        <v>701</v>
      </c>
      <c r="F66">
        <v>3.4000000000000004E-15</v>
      </c>
      <c r="H66">
        <v>1</v>
      </c>
    </row>
    <row r="67" spans="1:8" x14ac:dyDescent="0.25">
      <c r="A67" t="s">
        <v>27</v>
      </c>
      <c r="B67" t="s">
        <v>15</v>
      </c>
      <c r="C67" t="s">
        <v>28</v>
      </c>
      <c r="D67">
        <v>1.5</v>
      </c>
      <c r="E67">
        <v>701</v>
      </c>
      <c r="F67">
        <v>3.6000000000000001E-15</v>
      </c>
      <c r="H67">
        <v>1</v>
      </c>
    </row>
    <row r="68" spans="1:8" x14ac:dyDescent="0.25">
      <c r="A68" t="s">
        <v>27</v>
      </c>
      <c r="B68" t="s">
        <v>15</v>
      </c>
      <c r="C68" t="s">
        <v>28</v>
      </c>
      <c r="D68">
        <v>2</v>
      </c>
      <c r="E68">
        <v>701</v>
      </c>
      <c r="F68">
        <v>3.4999999999999997E-15</v>
      </c>
      <c r="H68">
        <v>1</v>
      </c>
    </row>
    <row r="69" spans="1:8" x14ac:dyDescent="0.25">
      <c r="A69" t="s">
        <v>29</v>
      </c>
      <c r="B69" t="s">
        <v>14</v>
      </c>
      <c r="C69" t="s">
        <v>7</v>
      </c>
      <c r="D69">
        <v>98.25</v>
      </c>
      <c r="E69">
        <v>900.49130090898643</v>
      </c>
      <c r="F69">
        <v>1.2708666993928189E-13</v>
      </c>
      <c r="H69">
        <v>1</v>
      </c>
    </row>
    <row r="70" spans="1:8" x14ac:dyDescent="0.25">
      <c r="A70" t="s">
        <v>29</v>
      </c>
      <c r="B70" t="s">
        <v>14</v>
      </c>
      <c r="C70" t="s">
        <v>7</v>
      </c>
      <c r="D70">
        <v>98.25</v>
      </c>
      <c r="E70">
        <v>902.14474845439099</v>
      </c>
      <c r="F70">
        <v>1.2105981335504796E-13</v>
      </c>
      <c r="H70">
        <v>1</v>
      </c>
    </row>
    <row r="71" spans="1:8" x14ac:dyDescent="0.25">
      <c r="A71" t="s">
        <v>29</v>
      </c>
      <c r="B71" t="s">
        <v>14</v>
      </c>
      <c r="C71" t="s">
        <v>7</v>
      </c>
      <c r="D71">
        <v>98.25</v>
      </c>
      <c r="E71">
        <v>898.84249968067297</v>
      </c>
      <c r="F71">
        <v>1.2105981335504796E-13</v>
      </c>
      <c r="H71">
        <v>1</v>
      </c>
    </row>
    <row r="72" spans="1:8" x14ac:dyDescent="0.25">
      <c r="A72" t="s">
        <v>29</v>
      </c>
      <c r="B72" t="s">
        <v>14</v>
      </c>
      <c r="C72" t="s">
        <v>7</v>
      </c>
      <c r="D72">
        <v>98.25</v>
      </c>
      <c r="E72">
        <v>835.74824540590157</v>
      </c>
      <c r="F72">
        <v>5.0477751350094524E-14</v>
      </c>
      <c r="H72">
        <v>1</v>
      </c>
    </row>
    <row r="73" spans="1:8" x14ac:dyDescent="0.25">
      <c r="A73" t="s">
        <v>29</v>
      </c>
      <c r="B73" t="s">
        <v>14</v>
      </c>
      <c r="C73" t="s">
        <v>7</v>
      </c>
      <c r="D73">
        <v>98.25</v>
      </c>
      <c r="E73">
        <v>771.19666817727125</v>
      </c>
      <c r="F73">
        <v>1.9102930691636564E-14</v>
      </c>
      <c r="H73">
        <v>1</v>
      </c>
    </row>
    <row r="74" spans="1:8" x14ac:dyDescent="0.25">
      <c r="A74" t="s">
        <v>29</v>
      </c>
      <c r="B74" t="s">
        <v>14</v>
      </c>
      <c r="C74" t="s">
        <v>7</v>
      </c>
      <c r="D74">
        <v>98.25</v>
      </c>
      <c r="E74">
        <v>769.23989861090263</v>
      </c>
      <c r="F74">
        <v>1.8416199035246641E-14</v>
      </c>
      <c r="H74">
        <v>1</v>
      </c>
    </row>
    <row r="75" spans="1:8" x14ac:dyDescent="0.25">
      <c r="A75" t="s">
        <v>29</v>
      </c>
      <c r="B75" t="s">
        <v>14</v>
      </c>
      <c r="C75" t="s">
        <v>7</v>
      </c>
      <c r="D75">
        <v>95.84</v>
      </c>
      <c r="E75">
        <v>940.62021697102227</v>
      </c>
      <c r="F75">
        <v>2.539802813772806E-13</v>
      </c>
      <c r="H75">
        <v>1</v>
      </c>
    </row>
    <row r="76" spans="1:8" x14ac:dyDescent="0.25">
      <c r="A76" t="s">
        <v>29</v>
      </c>
      <c r="B76" t="s">
        <v>14</v>
      </c>
      <c r="C76" t="s">
        <v>7</v>
      </c>
      <c r="D76">
        <v>95.84</v>
      </c>
      <c r="E76">
        <v>915.54197989700106</v>
      </c>
      <c r="F76">
        <v>1.8297847342954058E-13</v>
      </c>
      <c r="H76">
        <v>1</v>
      </c>
    </row>
    <row r="77" spans="1:8" x14ac:dyDescent="0.25">
      <c r="A77" t="s">
        <v>29</v>
      </c>
      <c r="B77" t="s">
        <v>14</v>
      </c>
      <c r="C77" t="s">
        <v>7</v>
      </c>
      <c r="D77">
        <v>95.84</v>
      </c>
      <c r="E77">
        <v>837.96298271341584</v>
      </c>
      <c r="F77">
        <v>6.4357623683764017E-14</v>
      </c>
      <c r="H77">
        <v>1</v>
      </c>
    </row>
    <row r="78" spans="1:8" x14ac:dyDescent="0.25">
      <c r="A78" t="s">
        <v>29</v>
      </c>
      <c r="B78" t="s">
        <v>14</v>
      </c>
      <c r="C78" t="s">
        <v>7</v>
      </c>
      <c r="D78">
        <v>95.84</v>
      </c>
      <c r="E78">
        <v>767.93909361269357</v>
      </c>
      <c r="F78">
        <v>2.1305905675427174E-14</v>
      </c>
      <c r="H78">
        <v>1</v>
      </c>
    </row>
    <row r="79" spans="1:8" x14ac:dyDescent="0.25">
      <c r="A79" t="s">
        <v>29</v>
      </c>
      <c r="B79" t="s">
        <v>14</v>
      </c>
      <c r="C79" t="s">
        <v>7</v>
      </c>
      <c r="D79">
        <v>93.44</v>
      </c>
      <c r="E79">
        <v>902.14474845439099</v>
      </c>
      <c r="F79">
        <v>1.7426091898259212E-13</v>
      </c>
      <c r="H79">
        <v>1</v>
      </c>
    </row>
    <row r="80" spans="1:8" x14ac:dyDescent="0.25">
      <c r="A80" t="s">
        <v>29</v>
      </c>
      <c r="B80" t="s">
        <v>14</v>
      </c>
      <c r="C80" t="s">
        <v>7</v>
      </c>
      <c r="D80">
        <v>93.44</v>
      </c>
      <c r="E80">
        <v>898.01914967615471</v>
      </c>
      <c r="F80">
        <v>1.8297847342954058E-13</v>
      </c>
      <c r="H80">
        <v>1</v>
      </c>
    </row>
    <row r="81" spans="1:8" x14ac:dyDescent="0.25">
      <c r="A81" t="s">
        <v>29</v>
      </c>
      <c r="B81" t="s">
        <v>14</v>
      </c>
      <c r="C81" t="s">
        <v>7</v>
      </c>
      <c r="D81">
        <v>93.44</v>
      </c>
      <c r="E81">
        <v>835.01114216004544</v>
      </c>
      <c r="F81">
        <v>7.6295689116153117E-14</v>
      </c>
      <c r="H81">
        <v>1</v>
      </c>
    </row>
    <row r="82" spans="1:8" x14ac:dyDescent="0.25">
      <c r="A82" t="s">
        <v>29</v>
      </c>
      <c r="B82" t="s">
        <v>14</v>
      </c>
      <c r="C82" t="s">
        <v>7</v>
      </c>
      <c r="D82">
        <v>93.44</v>
      </c>
      <c r="E82">
        <v>769.8909772201323</v>
      </c>
      <c r="F82">
        <v>2.7497929868950551E-14</v>
      </c>
      <c r="H82">
        <v>1</v>
      </c>
    </row>
    <row r="83" spans="1:8" x14ac:dyDescent="0.25">
      <c r="A83" t="s">
        <v>29</v>
      </c>
      <c r="B83" t="s">
        <v>14</v>
      </c>
      <c r="C83" t="s">
        <v>7</v>
      </c>
      <c r="D83">
        <v>93.44</v>
      </c>
      <c r="E83">
        <v>766.64045074651381</v>
      </c>
      <c r="F83">
        <v>2.6193890037214819E-14</v>
      </c>
      <c r="H83">
        <v>1</v>
      </c>
    </row>
    <row r="84" spans="1:8" x14ac:dyDescent="0.25">
      <c r="A84" t="s">
        <v>29</v>
      </c>
      <c r="B84" t="s">
        <v>14</v>
      </c>
      <c r="C84" t="s">
        <v>7</v>
      </c>
      <c r="D84">
        <v>93.44</v>
      </c>
      <c r="E84">
        <v>702.21015778900346</v>
      </c>
      <c r="F84">
        <v>8.2603794957717359E-15</v>
      </c>
      <c r="H84">
        <v>1</v>
      </c>
    </row>
    <row r="85" spans="1:8" x14ac:dyDescent="0.25">
      <c r="A85" t="s">
        <v>29</v>
      </c>
      <c r="B85" t="s">
        <v>14</v>
      </c>
      <c r="C85" t="s">
        <v>7</v>
      </c>
      <c r="D85">
        <v>93.44</v>
      </c>
      <c r="E85">
        <v>702.21015778900346</v>
      </c>
      <c r="F85">
        <v>9.1033239967990831E-15</v>
      </c>
      <c r="H85">
        <v>1</v>
      </c>
    </row>
    <row r="86" spans="1:8" x14ac:dyDescent="0.25">
      <c r="A86" t="s">
        <v>31</v>
      </c>
      <c r="B86" t="s">
        <v>15</v>
      </c>
      <c r="C86" t="s">
        <v>28</v>
      </c>
      <c r="D86">
        <v>99.893939000000003</v>
      </c>
      <c r="E86">
        <v>1000</v>
      </c>
      <c r="F86">
        <v>1.5488166189124747E-12</v>
      </c>
      <c r="H86">
        <v>1</v>
      </c>
    </row>
    <row r="87" spans="1:8" x14ac:dyDescent="0.25">
      <c r="A87" t="s">
        <v>31</v>
      </c>
      <c r="B87" t="s">
        <v>15</v>
      </c>
      <c r="C87" t="s">
        <v>28</v>
      </c>
      <c r="D87">
        <v>99</v>
      </c>
      <c r="E87">
        <v>1000</v>
      </c>
      <c r="F87">
        <v>1.4791083881682012E-12</v>
      </c>
      <c r="H87">
        <v>1</v>
      </c>
    </row>
    <row r="88" spans="1:8" x14ac:dyDescent="0.25">
      <c r="A88" t="s">
        <v>31</v>
      </c>
      <c r="B88" t="s">
        <v>15</v>
      </c>
      <c r="C88" t="s">
        <v>28</v>
      </c>
      <c r="D88">
        <v>98</v>
      </c>
      <c r="E88">
        <v>1000</v>
      </c>
      <c r="F88">
        <v>1.5135612484362015E-12</v>
      </c>
      <c r="H88">
        <v>1</v>
      </c>
    </row>
    <row r="89" spans="1:8" x14ac:dyDescent="0.25">
      <c r="A89" t="s">
        <v>31</v>
      </c>
      <c r="B89" t="s">
        <v>15</v>
      </c>
      <c r="C89" t="s">
        <v>28</v>
      </c>
      <c r="D89">
        <v>96</v>
      </c>
      <c r="E89">
        <v>1000</v>
      </c>
      <c r="F89">
        <v>1.4791083881682012E-12</v>
      </c>
      <c r="H89">
        <v>1</v>
      </c>
    </row>
    <row r="90" spans="1:8" x14ac:dyDescent="0.25">
      <c r="A90" t="s">
        <v>31</v>
      </c>
      <c r="B90" t="s">
        <v>15</v>
      </c>
      <c r="C90" t="s">
        <v>28</v>
      </c>
      <c r="D90">
        <v>94</v>
      </c>
      <c r="E90">
        <v>1000</v>
      </c>
      <c r="F90">
        <v>1.5848931924611065E-12</v>
      </c>
      <c r="H90">
        <v>1</v>
      </c>
    </row>
    <row r="91" spans="1:8" x14ac:dyDescent="0.25">
      <c r="A91" t="s">
        <v>31</v>
      </c>
      <c r="B91" t="s">
        <v>15</v>
      </c>
      <c r="C91" t="s">
        <v>28</v>
      </c>
      <c r="D91">
        <v>99.893939000000003</v>
      </c>
      <c r="E91">
        <v>949</v>
      </c>
      <c r="F91">
        <v>7.2443596007498653E-13</v>
      </c>
      <c r="H91">
        <v>1</v>
      </c>
    </row>
    <row r="92" spans="1:8" x14ac:dyDescent="0.25">
      <c r="A92" t="s">
        <v>31</v>
      </c>
      <c r="B92" t="s">
        <v>15</v>
      </c>
      <c r="C92" t="s">
        <v>28</v>
      </c>
      <c r="D92">
        <v>99</v>
      </c>
      <c r="E92">
        <v>949</v>
      </c>
      <c r="F92">
        <v>6.9183097091893335E-13</v>
      </c>
      <c r="H92">
        <v>1</v>
      </c>
    </row>
    <row r="93" spans="1:8" x14ac:dyDescent="0.25">
      <c r="A93" t="s">
        <v>31</v>
      </c>
      <c r="B93" t="s">
        <v>15</v>
      </c>
      <c r="C93" t="s">
        <v>28</v>
      </c>
      <c r="D93">
        <v>98</v>
      </c>
      <c r="E93">
        <v>949</v>
      </c>
      <c r="F93">
        <v>6.9183097091893335E-13</v>
      </c>
      <c r="H93">
        <v>1</v>
      </c>
    </row>
    <row r="94" spans="1:8" x14ac:dyDescent="0.25">
      <c r="A94" t="s">
        <v>31</v>
      </c>
      <c r="B94" t="s">
        <v>15</v>
      </c>
      <c r="C94" t="s">
        <v>28</v>
      </c>
      <c r="D94">
        <v>96</v>
      </c>
      <c r="E94">
        <v>949</v>
      </c>
      <c r="F94">
        <v>6.7608297539198111E-13</v>
      </c>
      <c r="H94">
        <v>1</v>
      </c>
    </row>
    <row r="95" spans="1:8" x14ac:dyDescent="0.25">
      <c r="A95" t="s">
        <v>31</v>
      </c>
      <c r="B95" t="s">
        <v>15</v>
      </c>
      <c r="C95" t="s">
        <v>28</v>
      </c>
      <c r="D95">
        <v>94</v>
      </c>
      <c r="E95">
        <v>949</v>
      </c>
      <c r="F95">
        <v>6.9183097091893335E-13</v>
      </c>
      <c r="H95">
        <v>1</v>
      </c>
    </row>
    <row r="96" spans="1:8" x14ac:dyDescent="0.25">
      <c r="A96" t="s">
        <v>31</v>
      </c>
      <c r="B96" t="s">
        <v>15</v>
      </c>
      <c r="C96" t="s">
        <v>28</v>
      </c>
      <c r="D96">
        <v>99.893939000000003</v>
      </c>
      <c r="E96">
        <v>901</v>
      </c>
      <c r="F96">
        <v>3.3884415613920079E-13</v>
      </c>
      <c r="H96">
        <v>1</v>
      </c>
    </row>
    <row r="97" spans="1:8" x14ac:dyDescent="0.25">
      <c r="A97" t="s">
        <v>31</v>
      </c>
      <c r="B97" t="s">
        <v>15</v>
      </c>
      <c r="C97" t="s">
        <v>28</v>
      </c>
      <c r="D97">
        <v>99</v>
      </c>
      <c r="E97">
        <v>901</v>
      </c>
      <c r="F97">
        <v>3.1622776601683746E-13</v>
      </c>
      <c r="H97">
        <v>1</v>
      </c>
    </row>
    <row r="98" spans="1:8" x14ac:dyDescent="0.25">
      <c r="A98" t="s">
        <v>31</v>
      </c>
      <c r="B98" t="s">
        <v>15</v>
      </c>
      <c r="C98" t="s">
        <v>28</v>
      </c>
      <c r="D98">
        <v>98</v>
      </c>
      <c r="E98">
        <v>901</v>
      </c>
      <c r="F98">
        <v>3.0902954325135866E-13</v>
      </c>
      <c r="H98">
        <v>1</v>
      </c>
    </row>
    <row r="99" spans="1:8" x14ac:dyDescent="0.25">
      <c r="A99" t="s">
        <v>31</v>
      </c>
      <c r="B99" t="s">
        <v>15</v>
      </c>
      <c r="C99" t="s">
        <v>28</v>
      </c>
      <c r="D99">
        <v>96</v>
      </c>
      <c r="E99">
        <v>901</v>
      </c>
      <c r="F99">
        <v>3.0199517204020122E-13</v>
      </c>
      <c r="H99">
        <v>1</v>
      </c>
    </row>
    <row r="100" spans="1:8" x14ac:dyDescent="0.25">
      <c r="A100" t="s">
        <v>31</v>
      </c>
      <c r="B100" t="s">
        <v>15</v>
      </c>
      <c r="C100" t="s">
        <v>28</v>
      </c>
      <c r="D100">
        <v>94</v>
      </c>
      <c r="E100">
        <v>901</v>
      </c>
      <c r="F100">
        <v>3.0199517204020122E-13</v>
      </c>
      <c r="H100">
        <v>1</v>
      </c>
    </row>
    <row r="101" spans="1:8" x14ac:dyDescent="0.25">
      <c r="A101" t="s">
        <v>31</v>
      </c>
      <c r="B101" t="s">
        <v>15</v>
      </c>
      <c r="C101" t="s">
        <v>28</v>
      </c>
      <c r="D101">
        <v>99.893939000000003</v>
      </c>
      <c r="E101">
        <v>859</v>
      </c>
      <c r="F101">
        <v>1.6218100973589265E-13</v>
      </c>
      <c r="H101">
        <v>1</v>
      </c>
    </row>
    <row r="102" spans="1:8" x14ac:dyDescent="0.25">
      <c r="A102" t="s">
        <v>31</v>
      </c>
      <c r="B102" t="s">
        <v>15</v>
      </c>
      <c r="C102" t="s">
        <v>28</v>
      </c>
      <c r="D102">
        <v>99</v>
      </c>
      <c r="E102">
        <v>859</v>
      </c>
      <c r="F102">
        <v>1.4791083881682047E-13</v>
      </c>
      <c r="H102">
        <v>1</v>
      </c>
    </row>
    <row r="103" spans="1:8" x14ac:dyDescent="0.25">
      <c r="A103" t="s">
        <v>31</v>
      </c>
      <c r="B103" t="s">
        <v>15</v>
      </c>
      <c r="C103" t="s">
        <v>28</v>
      </c>
      <c r="D103">
        <v>98</v>
      </c>
      <c r="E103">
        <v>859</v>
      </c>
      <c r="F103">
        <v>1.4454397707459251E-13</v>
      </c>
      <c r="H103">
        <v>1</v>
      </c>
    </row>
    <row r="104" spans="1:8" x14ac:dyDescent="0.25">
      <c r="A104" t="s">
        <v>31</v>
      </c>
      <c r="B104" t="s">
        <v>15</v>
      </c>
      <c r="C104" t="s">
        <v>28</v>
      </c>
      <c r="D104">
        <v>96</v>
      </c>
      <c r="E104">
        <v>859</v>
      </c>
      <c r="F104">
        <v>1.3803842646028828E-13</v>
      </c>
      <c r="H104">
        <v>1</v>
      </c>
    </row>
    <row r="105" spans="1:8" x14ac:dyDescent="0.25">
      <c r="A105" t="s">
        <v>31</v>
      </c>
      <c r="B105" t="s">
        <v>15</v>
      </c>
      <c r="C105" t="s">
        <v>28</v>
      </c>
      <c r="D105">
        <v>94</v>
      </c>
      <c r="E105">
        <v>859</v>
      </c>
      <c r="F105">
        <v>1.3489628825916516E-13</v>
      </c>
      <c r="H105">
        <v>1</v>
      </c>
    </row>
    <row r="106" spans="1:8" x14ac:dyDescent="0.25">
      <c r="A106" t="s">
        <v>31</v>
      </c>
      <c r="B106" t="s">
        <v>15</v>
      </c>
      <c r="C106" t="s">
        <v>28</v>
      </c>
      <c r="D106">
        <v>99.893939000000003</v>
      </c>
      <c r="E106">
        <v>827</v>
      </c>
      <c r="F106">
        <v>8.9125093813374273E-14</v>
      </c>
      <c r="H106">
        <v>1</v>
      </c>
    </row>
    <row r="107" spans="1:8" x14ac:dyDescent="0.25">
      <c r="A107" t="s">
        <v>31</v>
      </c>
      <c r="B107" t="s">
        <v>15</v>
      </c>
      <c r="C107" t="s">
        <v>28</v>
      </c>
      <c r="D107">
        <v>99</v>
      </c>
      <c r="E107">
        <v>827</v>
      </c>
      <c r="F107">
        <v>8.1283051616409697E-14</v>
      </c>
      <c r="H107">
        <v>1</v>
      </c>
    </row>
    <row r="108" spans="1:8" x14ac:dyDescent="0.25">
      <c r="A108" t="s">
        <v>31</v>
      </c>
      <c r="B108" t="s">
        <v>15</v>
      </c>
      <c r="C108" t="s">
        <v>28</v>
      </c>
      <c r="D108">
        <v>98</v>
      </c>
      <c r="E108">
        <v>827</v>
      </c>
      <c r="F108">
        <v>7.9432823472427931E-14</v>
      </c>
      <c r="H108">
        <v>1</v>
      </c>
    </row>
    <row r="109" spans="1:8" x14ac:dyDescent="0.25">
      <c r="A109" t="s">
        <v>31</v>
      </c>
      <c r="B109" t="s">
        <v>15</v>
      </c>
      <c r="C109" t="s">
        <v>28</v>
      </c>
      <c r="D109">
        <v>96</v>
      </c>
      <c r="E109">
        <v>827</v>
      </c>
      <c r="F109">
        <v>7.4131024130091305E-14</v>
      </c>
      <c r="H109">
        <v>1</v>
      </c>
    </row>
    <row r="110" spans="1:8" x14ac:dyDescent="0.25">
      <c r="A110" t="s">
        <v>31</v>
      </c>
      <c r="B110" t="s">
        <v>15</v>
      </c>
      <c r="C110" t="s">
        <v>28</v>
      </c>
      <c r="D110">
        <v>94</v>
      </c>
      <c r="E110">
        <v>827</v>
      </c>
      <c r="F110">
        <v>6.9183097091893504E-14</v>
      </c>
      <c r="H110">
        <v>1</v>
      </c>
    </row>
    <row r="111" spans="1:8" x14ac:dyDescent="0.25">
      <c r="A111" t="s">
        <v>31</v>
      </c>
      <c r="B111" t="s">
        <v>15</v>
      </c>
      <c r="C111" t="s">
        <v>28</v>
      </c>
      <c r="D111">
        <v>99.893939000000003</v>
      </c>
      <c r="E111">
        <v>803</v>
      </c>
      <c r="F111">
        <v>5.6234132519034836E-14</v>
      </c>
      <c r="H111">
        <v>1</v>
      </c>
    </row>
    <row r="112" spans="1:8" x14ac:dyDescent="0.25">
      <c r="A112" t="s">
        <v>31</v>
      </c>
      <c r="B112" t="s">
        <v>15</v>
      </c>
      <c r="C112" t="s">
        <v>28</v>
      </c>
      <c r="D112">
        <v>99</v>
      </c>
      <c r="E112">
        <v>803</v>
      </c>
      <c r="F112">
        <v>5.1286138399136433E-14</v>
      </c>
      <c r="H112">
        <v>1</v>
      </c>
    </row>
    <row r="113" spans="1:8" x14ac:dyDescent="0.25">
      <c r="A113" t="s">
        <v>31</v>
      </c>
      <c r="B113" t="s">
        <v>15</v>
      </c>
      <c r="C113" t="s">
        <v>28</v>
      </c>
      <c r="D113">
        <v>98</v>
      </c>
      <c r="E113">
        <v>803</v>
      </c>
      <c r="F113">
        <v>4.8977881936844408E-14</v>
      </c>
      <c r="H113">
        <v>1</v>
      </c>
    </row>
    <row r="114" spans="1:8" x14ac:dyDescent="0.25">
      <c r="A114" t="s">
        <v>31</v>
      </c>
      <c r="B114" t="s">
        <v>15</v>
      </c>
      <c r="C114" t="s">
        <v>28</v>
      </c>
      <c r="D114">
        <v>96</v>
      </c>
      <c r="E114">
        <v>803</v>
      </c>
      <c r="F114">
        <v>4.5708818961487318E-14</v>
      </c>
      <c r="H114">
        <v>1</v>
      </c>
    </row>
    <row r="115" spans="1:8" x14ac:dyDescent="0.25">
      <c r="A115" t="s">
        <v>31</v>
      </c>
      <c r="B115" t="s">
        <v>15</v>
      </c>
      <c r="C115" t="s">
        <v>28</v>
      </c>
      <c r="D115">
        <v>94</v>
      </c>
      <c r="E115">
        <v>803</v>
      </c>
      <c r="F115">
        <v>4.2657951880159256E-14</v>
      </c>
      <c r="H115">
        <v>1</v>
      </c>
    </row>
    <row r="116" spans="1:8" x14ac:dyDescent="0.25">
      <c r="A116" t="s">
        <v>31</v>
      </c>
      <c r="B116" t="s">
        <v>15</v>
      </c>
      <c r="C116" t="s">
        <v>28</v>
      </c>
      <c r="D116">
        <v>99.893939000000003</v>
      </c>
      <c r="E116">
        <v>750</v>
      </c>
      <c r="F116">
        <v>1.8620871366628604E-14</v>
      </c>
      <c r="H116">
        <v>1</v>
      </c>
    </row>
    <row r="117" spans="1:8" x14ac:dyDescent="0.25">
      <c r="A117" t="s">
        <v>31</v>
      </c>
      <c r="B117" t="s">
        <v>15</v>
      </c>
      <c r="C117" t="s">
        <v>28</v>
      </c>
      <c r="D117">
        <v>99</v>
      </c>
      <c r="E117">
        <v>750</v>
      </c>
      <c r="F117">
        <v>1.6218100973589306E-14</v>
      </c>
      <c r="H117">
        <v>1</v>
      </c>
    </row>
    <row r="118" spans="1:8" x14ac:dyDescent="0.25">
      <c r="A118" t="s">
        <v>31</v>
      </c>
      <c r="B118" t="s">
        <v>15</v>
      </c>
      <c r="C118" t="s">
        <v>28</v>
      </c>
      <c r="D118">
        <v>98</v>
      </c>
      <c r="E118">
        <v>750</v>
      </c>
      <c r="F118">
        <v>1.5135612484362038E-14</v>
      </c>
      <c r="H118">
        <v>1</v>
      </c>
    </row>
    <row r="119" spans="1:8" x14ac:dyDescent="0.25">
      <c r="A119" t="s">
        <v>31</v>
      </c>
      <c r="B119" t="s">
        <v>15</v>
      </c>
      <c r="C119" t="s">
        <v>28</v>
      </c>
      <c r="D119">
        <v>96</v>
      </c>
      <c r="E119">
        <v>750</v>
      </c>
      <c r="F119">
        <v>1.4125375446227505E-14</v>
      </c>
      <c r="H119">
        <v>1</v>
      </c>
    </row>
    <row r="120" spans="1:8" x14ac:dyDescent="0.25">
      <c r="A120" t="s">
        <v>31</v>
      </c>
      <c r="B120" t="s">
        <v>15</v>
      </c>
      <c r="C120" t="s">
        <v>28</v>
      </c>
      <c r="D120">
        <v>94</v>
      </c>
      <c r="E120">
        <v>750</v>
      </c>
      <c r="F120">
        <v>1.2589254117941644E-14</v>
      </c>
      <c r="H120">
        <v>1</v>
      </c>
    </row>
    <row r="121" spans="1:8" x14ac:dyDescent="0.25">
      <c r="A121" t="s">
        <v>31</v>
      </c>
      <c r="B121" t="s">
        <v>15</v>
      </c>
      <c r="C121" t="s">
        <v>28</v>
      </c>
      <c r="D121">
        <v>99.893939000000003</v>
      </c>
      <c r="E121">
        <v>729</v>
      </c>
      <c r="F121">
        <v>1.1481536214968808E-14</v>
      </c>
      <c r="H121">
        <v>1</v>
      </c>
    </row>
    <row r="122" spans="1:8" x14ac:dyDescent="0.25">
      <c r="A122" t="s">
        <v>31</v>
      </c>
      <c r="B122" t="s">
        <v>15</v>
      </c>
      <c r="C122" t="s">
        <v>28</v>
      </c>
      <c r="D122">
        <v>99</v>
      </c>
      <c r="E122">
        <v>729</v>
      </c>
      <c r="F122">
        <v>1E-14</v>
      </c>
      <c r="H122">
        <v>1</v>
      </c>
    </row>
    <row r="123" spans="1:8" x14ac:dyDescent="0.25">
      <c r="A123" t="s">
        <v>31</v>
      </c>
      <c r="B123" t="s">
        <v>15</v>
      </c>
      <c r="C123" t="s">
        <v>28</v>
      </c>
      <c r="D123">
        <v>98</v>
      </c>
      <c r="E123">
        <v>729</v>
      </c>
      <c r="F123">
        <v>9.3325430079699006E-15</v>
      </c>
      <c r="H123">
        <v>1</v>
      </c>
    </row>
    <row r="124" spans="1:8" x14ac:dyDescent="0.25">
      <c r="A124" t="s">
        <v>31</v>
      </c>
      <c r="B124" t="s">
        <v>15</v>
      </c>
      <c r="C124" t="s">
        <v>28</v>
      </c>
      <c r="D124">
        <v>96</v>
      </c>
      <c r="E124">
        <v>729</v>
      </c>
      <c r="F124">
        <v>8.5113803820237586E-15</v>
      </c>
      <c r="H124">
        <v>1</v>
      </c>
    </row>
    <row r="125" spans="1:8" x14ac:dyDescent="0.25">
      <c r="A125" t="s">
        <v>31</v>
      </c>
      <c r="B125" t="s">
        <v>15</v>
      </c>
      <c r="C125" t="s">
        <v>28</v>
      </c>
      <c r="D125">
        <v>94</v>
      </c>
      <c r="E125">
        <v>729</v>
      </c>
      <c r="F125">
        <v>7.5857757502918367E-15</v>
      </c>
      <c r="H125">
        <v>1</v>
      </c>
    </row>
    <row r="126" spans="1:8" x14ac:dyDescent="0.25">
      <c r="A126" t="s">
        <v>31</v>
      </c>
      <c r="B126" t="s">
        <v>15</v>
      </c>
      <c r="C126" t="s">
        <v>28</v>
      </c>
      <c r="D126">
        <v>99.893939000000003</v>
      </c>
      <c r="E126">
        <v>701</v>
      </c>
      <c r="F126">
        <v>6.0255958607435399E-15</v>
      </c>
      <c r="H126">
        <v>1</v>
      </c>
    </row>
    <row r="127" spans="1:8" x14ac:dyDescent="0.25">
      <c r="A127" t="s">
        <v>31</v>
      </c>
      <c r="B127" t="s">
        <v>15</v>
      </c>
      <c r="C127" t="s">
        <v>28</v>
      </c>
      <c r="D127">
        <v>99</v>
      </c>
      <c r="E127">
        <v>701</v>
      </c>
      <c r="F127">
        <v>5.1286138399136556E-15</v>
      </c>
      <c r="H127">
        <v>1</v>
      </c>
    </row>
    <row r="128" spans="1:8" x14ac:dyDescent="0.25">
      <c r="A128" t="s">
        <v>31</v>
      </c>
      <c r="B128" t="s">
        <v>15</v>
      </c>
      <c r="C128" t="s">
        <v>28</v>
      </c>
      <c r="D128">
        <v>98</v>
      </c>
      <c r="E128">
        <v>701</v>
      </c>
      <c r="F128">
        <v>4.6773514128719577E-15</v>
      </c>
      <c r="H128">
        <v>1</v>
      </c>
    </row>
    <row r="129" spans="1:8" x14ac:dyDescent="0.25">
      <c r="A129" t="s">
        <v>31</v>
      </c>
      <c r="B129" t="s">
        <v>15</v>
      </c>
      <c r="C129" t="s">
        <v>28</v>
      </c>
      <c r="D129">
        <v>96</v>
      </c>
      <c r="E129">
        <v>701</v>
      </c>
      <c r="F129">
        <v>4.2657951880159061E-15</v>
      </c>
      <c r="H129">
        <v>1</v>
      </c>
    </row>
    <row r="130" spans="1:8" x14ac:dyDescent="0.25">
      <c r="A130" t="s">
        <v>31</v>
      </c>
      <c r="B130" t="s">
        <v>15</v>
      </c>
      <c r="C130" t="s">
        <v>28</v>
      </c>
      <c r="D130">
        <v>94</v>
      </c>
      <c r="E130">
        <v>701</v>
      </c>
      <c r="F130">
        <v>3.6307805477009983E-15</v>
      </c>
      <c r="H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1" topLeftCell="A2" activePane="bottomLeft" state="frozen"/>
      <selection pane="bottomLeft" activeCell="C31" sqref="C31"/>
    </sheetView>
  </sheetViews>
  <sheetFormatPr defaultColWidth="14.42578125" defaultRowHeight="15" customHeight="1" x14ac:dyDescent="0.25"/>
  <cols>
    <col min="1" max="1" width="10.5703125" customWidth="1"/>
    <col min="2" max="3" width="8.7109375" customWidth="1"/>
    <col min="4" max="4" width="10.7109375" customWidth="1"/>
    <col min="5" max="5" width="10" customWidth="1"/>
    <col min="6" max="6" width="8.7109375" customWidth="1"/>
    <col min="7" max="7" width="3" customWidth="1"/>
    <col min="8" max="27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4.25" customHeight="1" x14ac:dyDescent="0.25">
      <c r="C2" s="1"/>
      <c r="D2" s="2"/>
      <c r="E2" s="1"/>
      <c r="F2" s="1"/>
      <c r="G2" s="1" t="s">
        <v>6</v>
      </c>
    </row>
    <row r="3" spans="1:10" ht="14.25" customHeight="1" x14ac:dyDescent="0.25">
      <c r="A3" s="1"/>
      <c r="B3" s="1"/>
      <c r="C3" s="1"/>
      <c r="D3" s="2"/>
      <c r="E3" s="1"/>
      <c r="F3" s="1"/>
      <c r="G3" s="1" t="s">
        <v>6</v>
      </c>
      <c r="H3" s="1" t="s">
        <v>1</v>
      </c>
      <c r="I3" s="1" t="s">
        <v>7</v>
      </c>
      <c r="J3" s="1" t="s">
        <v>8</v>
      </c>
    </row>
    <row r="4" spans="1:10" ht="14.25" customHeight="1" x14ac:dyDescent="0.25">
      <c r="A4" s="1"/>
      <c r="B4" s="1"/>
      <c r="C4" s="1"/>
      <c r="D4" s="2"/>
      <c r="E4" s="1"/>
      <c r="F4" s="1"/>
      <c r="H4" s="1" t="s">
        <v>1</v>
      </c>
      <c r="I4" s="1" t="s">
        <v>9</v>
      </c>
      <c r="J4" s="1" t="s">
        <v>10</v>
      </c>
    </row>
    <row r="5" spans="1:10" ht="14.25" customHeight="1" x14ac:dyDescent="0.25">
      <c r="A5" s="1"/>
      <c r="B5" s="1"/>
      <c r="C5" s="1"/>
      <c r="D5" s="2"/>
      <c r="E5" s="1"/>
      <c r="F5" s="1"/>
    </row>
    <row r="6" spans="1:10" ht="14.25" customHeight="1" x14ac:dyDescent="0.25">
      <c r="A6" s="1"/>
      <c r="B6" s="1"/>
      <c r="C6" s="1"/>
      <c r="D6" s="2"/>
      <c r="E6" s="1"/>
      <c r="F6" s="1"/>
      <c r="H6" s="1" t="s">
        <v>2</v>
      </c>
      <c r="I6" s="1" t="s">
        <v>11</v>
      </c>
    </row>
    <row r="7" spans="1:10" ht="14.25" customHeight="1" x14ac:dyDescent="0.25">
      <c r="A7" s="1"/>
      <c r="B7" s="1"/>
      <c r="C7" s="1"/>
      <c r="D7" s="2"/>
      <c r="E7" s="1"/>
    </row>
    <row r="8" spans="1:10" ht="14.25" customHeight="1" x14ac:dyDescent="0.25">
      <c r="A8" s="1"/>
      <c r="B8" s="1"/>
      <c r="C8" s="1"/>
      <c r="D8" s="2"/>
      <c r="E8" s="1"/>
    </row>
    <row r="9" spans="1:10" ht="14.25" customHeight="1" x14ac:dyDescent="0.25">
      <c r="A9" s="1"/>
      <c r="B9" s="1"/>
      <c r="C9" s="1"/>
      <c r="D9" s="2"/>
      <c r="E9" s="1"/>
    </row>
    <row r="10" spans="1:10" ht="14.25" customHeight="1" x14ac:dyDescent="0.25">
      <c r="A10" s="1"/>
      <c r="B10" s="1"/>
      <c r="C10" s="1"/>
      <c r="D10" s="2"/>
      <c r="E10" s="1"/>
    </row>
    <row r="11" spans="1:10" ht="14.25" customHeight="1" x14ac:dyDescent="0.25">
      <c r="A11" s="1"/>
      <c r="B11" s="1"/>
      <c r="C11" s="1"/>
      <c r="D11" s="2"/>
      <c r="E11" s="1"/>
    </row>
    <row r="12" spans="1:10" ht="14.25" customHeight="1" x14ac:dyDescent="0.25">
      <c r="A12" s="1"/>
      <c r="B12" s="1"/>
      <c r="C12" s="1"/>
      <c r="D12" s="2"/>
      <c r="E12" s="1"/>
    </row>
    <row r="13" spans="1:10" ht="14.25" customHeight="1" x14ac:dyDescent="0.25">
      <c r="A13" s="1"/>
      <c r="B13" s="1"/>
      <c r="C13" s="1"/>
      <c r="D13" s="2"/>
      <c r="E13" s="1"/>
    </row>
    <row r="14" spans="1:10" ht="14.25" customHeight="1" x14ac:dyDescent="0.25">
      <c r="A14" s="1"/>
      <c r="B14" s="1"/>
      <c r="C14" s="1"/>
      <c r="D14" s="2"/>
      <c r="E14" s="1"/>
      <c r="F14" s="1"/>
      <c r="G14" s="1" t="s">
        <v>6</v>
      </c>
    </row>
    <row r="15" spans="1:10" ht="14.25" customHeight="1" x14ac:dyDescent="0.25">
      <c r="A15" s="1"/>
      <c r="B15" s="1"/>
      <c r="C15" s="1"/>
      <c r="D15" s="2"/>
      <c r="E15" s="1"/>
    </row>
    <row r="16" spans="1:10" ht="14.25" customHeight="1" x14ac:dyDescent="0.25">
      <c r="A16" s="1"/>
      <c r="B16" s="1"/>
      <c r="C16" s="1"/>
      <c r="D16" s="2"/>
      <c r="E16" s="1"/>
    </row>
    <row r="17" spans="1:5" ht="14.25" customHeight="1" x14ac:dyDescent="0.25">
      <c r="A17" s="1"/>
      <c r="B17" s="1"/>
      <c r="C17" s="1"/>
      <c r="D17" s="2"/>
      <c r="E17" s="1"/>
    </row>
    <row r="18" spans="1:5" ht="14.25" customHeight="1" x14ac:dyDescent="0.25">
      <c r="A18" s="1"/>
      <c r="B18" s="1"/>
      <c r="C18" s="1"/>
      <c r="D18" s="2"/>
      <c r="E18" s="1"/>
    </row>
    <row r="19" spans="1:5" ht="14.25" customHeight="1" x14ac:dyDescent="0.25">
      <c r="A19" s="1"/>
      <c r="B19" s="1"/>
      <c r="C19" s="1"/>
      <c r="D19" s="2"/>
      <c r="E19" s="1"/>
    </row>
    <row r="20" spans="1:5" ht="14.25" customHeight="1" x14ac:dyDescent="0.25"/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6"/>
  <sheetViews>
    <sheetView workbookViewId="0">
      <pane ySplit="1" topLeftCell="A2" activePane="bottomLeft" state="frozen"/>
      <selection pane="bottomLeft" sqref="A1:H1048576"/>
    </sheetView>
  </sheetViews>
  <sheetFormatPr defaultColWidth="14.42578125" defaultRowHeight="15" customHeight="1" x14ac:dyDescent="0.25"/>
  <cols>
    <col min="1" max="1" width="16.28515625" customWidth="1"/>
    <col min="2" max="8" width="10" customWidth="1"/>
    <col min="9" max="22" width="8.7109375" customWidth="1"/>
  </cols>
  <sheetData>
    <row r="1" spans="1:22" ht="14.25" customHeight="1" x14ac:dyDescent="0.25">
      <c r="A1" s="1" t="s">
        <v>0</v>
      </c>
      <c r="B1" s="1" t="s">
        <v>12</v>
      </c>
      <c r="C1" s="1" t="s">
        <v>1</v>
      </c>
      <c r="D1" s="6" t="s">
        <v>17</v>
      </c>
      <c r="E1" s="6" t="s">
        <v>16</v>
      </c>
      <c r="F1" s="1" t="s">
        <v>13</v>
      </c>
      <c r="G1" s="1" t="s">
        <v>19</v>
      </c>
      <c r="H1" s="1" t="s">
        <v>18</v>
      </c>
      <c r="I1" s="6" t="s">
        <v>23</v>
      </c>
      <c r="J1" s="1" t="s">
        <v>20</v>
      </c>
      <c r="K1" s="6" t="s">
        <v>21</v>
      </c>
      <c r="L1" s="1" t="s">
        <v>22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5">
      <c r="A2" s="1" t="s">
        <v>24</v>
      </c>
      <c r="B2" s="1" t="s">
        <v>14</v>
      </c>
      <c r="C2" s="1" t="s">
        <v>7</v>
      </c>
      <c r="D2" s="3">
        <f t="shared" ref="D2:D23" si="0">100-J2</f>
        <v>99.164677999999995</v>
      </c>
      <c r="E2" s="1">
        <f t="shared" ref="E2:E33" si="1">I2 - 273</f>
        <v>850</v>
      </c>
      <c r="F2" s="1">
        <f t="shared" ref="F2:F23" si="2">L2</f>
        <v>1.0799409266631026E-13</v>
      </c>
      <c r="G2" s="1"/>
      <c r="H2" s="1" t="s">
        <v>6</v>
      </c>
      <c r="I2" s="1">
        <v>1123</v>
      </c>
      <c r="J2" s="1">
        <v>0.83532200000000001</v>
      </c>
      <c r="K2" s="1">
        <v>-12.9666</v>
      </c>
      <c r="L2" s="1">
        <f>10^K2</f>
        <v>1.0799409266631026E-13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5">
      <c r="A3" s="1" t="s">
        <v>24</v>
      </c>
      <c r="B3" s="1" t="s">
        <v>14</v>
      </c>
      <c r="C3" s="1" t="s">
        <v>7</v>
      </c>
      <c r="D3" s="3">
        <f t="shared" si="0"/>
        <v>97.446299999999994</v>
      </c>
      <c r="E3" s="1">
        <f t="shared" si="1"/>
        <v>850</v>
      </c>
      <c r="F3" s="1">
        <f t="shared" si="2"/>
        <v>1.4531150472893862E-13</v>
      </c>
      <c r="G3" s="1"/>
      <c r="H3" s="1" t="s">
        <v>6</v>
      </c>
      <c r="I3" s="1">
        <v>1123</v>
      </c>
      <c r="J3" s="1">
        <v>2.5537000000000001</v>
      </c>
      <c r="K3" s="1">
        <v>-12.8377</v>
      </c>
      <c r="L3" s="1">
        <f t="shared" ref="L3:L66" si="3">10^K3</f>
        <v>1.4531150472893862E-13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5">
      <c r="A4" s="1" t="s">
        <v>24</v>
      </c>
      <c r="B4" s="1" t="s">
        <v>14</v>
      </c>
      <c r="C4" s="1" t="s">
        <v>7</v>
      </c>
      <c r="D4" s="3">
        <f t="shared" si="0"/>
        <v>96.634839999999997</v>
      </c>
      <c r="E4" s="1">
        <f t="shared" si="1"/>
        <v>850</v>
      </c>
      <c r="F4" s="1">
        <f t="shared" si="2"/>
        <v>1.630797361023593E-13</v>
      </c>
      <c r="G4" s="1"/>
      <c r="H4" s="1" t="s">
        <v>6</v>
      </c>
      <c r="I4" s="1">
        <v>1123</v>
      </c>
      <c r="J4" s="1">
        <v>3.3651599999999999</v>
      </c>
      <c r="K4" s="1">
        <v>-12.787599999999999</v>
      </c>
      <c r="L4" s="1">
        <f t="shared" si="3"/>
        <v>1.630797361023593E-13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5">
      <c r="A5" s="1" t="s">
        <v>24</v>
      </c>
      <c r="B5" s="1" t="s">
        <v>14</v>
      </c>
      <c r="C5" s="1" t="s">
        <v>7</v>
      </c>
      <c r="D5" s="3">
        <f t="shared" si="0"/>
        <v>99.140810999999999</v>
      </c>
      <c r="E5" s="1">
        <f t="shared" si="1"/>
        <v>820</v>
      </c>
      <c r="F5" s="1">
        <f t="shared" si="2"/>
        <v>6.1659500186147887E-14</v>
      </c>
      <c r="G5" s="1"/>
      <c r="H5" s="1" t="s">
        <v>6</v>
      </c>
      <c r="I5" s="1">
        <v>1093</v>
      </c>
      <c r="J5" s="1">
        <v>0.85918899999999998</v>
      </c>
      <c r="K5" s="1">
        <v>-13.21</v>
      </c>
      <c r="L5" s="1">
        <f t="shared" si="3"/>
        <v>6.1659500186147887E-14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5">
      <c r="A6" s="1" t="s">
        <v>24</v>
      </c>
      <c r="B6" s="1" t="s">
        <v>14</v>
      </c>
      <c r="C6" s="1" t="s">
        <v>7</v>
      </c>
      <c r="D6" s="3">
        <f t="shared" si="0"/>
        <v>97.446299999999994</v>
      </c>
      <c r="E6" s="1">
        <f t="shared" si="1"/>
        <v>820</v>
      </c>
      <c r="F6" s="1">
        <f t="shared" si="2"/>
        <v>8.4333475776427351E-14</v>
      </c>
      <c r="G6" s="1"/>
      <c r="H6" s="1" t="s">
        <v>6</v>
      </c>
      <c r="I6" s="1">
        <v>1093</v>
      </c>
      <c r="J6" s="1">
        <v>2.5537000000000001</v>
      </c>
      <c r="K6" s="1">
        <v>-13.074</v>
      </c>
      <c r="L6" s="1">
        <f t="shared" si="3"/>
        <v>8.4333475776427351E-14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5">
      <c r="A7" s="1" t="s">
        <v>24</v>
      </c>
      <c r="B7" s="1" t="s">
        <v>14</v>
      </c>
      <c r="C7" s="1" t="s">
        <v>7</v>
      </c>
      <c r="D7" s="3">
        <f t="shared" si="0"/>
        <v>96.634839999999997</v>
      </c>
      <c r="E7" s="1">
        <f t="shared" si="1"/>
        <v>820</v>
      </c>
      <c r="F7" s="1">
        <f t="shared" si="2"/>
        <v>9.3110787546782652E-14</v>
      </c>
      <c r="G7" s="1"/>
      <c r="H7" s="1" t="s">
        <v>6</v>
      </c>
      <c r="I7" s="1">
        <v>1093</v>
      </c>
      <c r="J7" s="1">
        <v>3.3651599999999999</v>
      </c>
      <c r="K7" s="1">
        <v>-13.031000000000001</v>
      </c>
      <c r="L7" s="1">
        <f t="shared" si="3"/>
        <v>9.3110787546782652E-14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5">
      <c r="A8" s="1" t="s">
        <v>24</v>
      </c>
      <c r="B8" s="1" t="s">
        <v>14</v>
      </c>
      <c r="C8" s="1" t="s">
        <v>7</v>
      </c>
      <c r="D8" s="3">
        <f t="shared" si="0"/>
        <v>99.164677999999995</v>
      </c>
      <c r="E8" s="1">
        <f t="shared" si="1"/>
        <v>795</v>
      </c>
      <c r="F8" s="1">
        <f t="shared" si="2"/>
        <v>3.8220819974268112E-14</v>
      </c>
      <c r="G8" s="1"/>
      <c r="H8" s="1" t="s">
        <v>6</v>
      </c>
      <c r="I8" s="1">
        <v>1068</v>
      </c>
      <c r="J8" s="1">
        <v>0.83532200000000001</v>
      </c>
      <c r="K8" s="1">
        <v>-13.4177</v>
      </c>
      <c r="L8" s="1">
        <f t="shared" si="3"/>
        <v>3.8220819974268112E-14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 customHeight="1" x14ac:dyDescent="0.25">
      <c r="A9" s="1" t="s">
        <v>24</v>
      </c>
      <c r="B9" s="1" t="s">
        <v>14</v>
      </c>
      <c r="C9" s="1" t="s">
        <v>7</v>
      </c>
      <c r="D9" s="3">
        <f t="shared" si="0"/>
        <v>97.446299999999994</v>
      </c>
      <c r="E9" s="1">
        <f t="shared" si="1"/>
        <v>795</v>
      </c>
      <c r="F9" s="1">
        <f t="shared" si="2"/>
        <v>5.2287755531344038E-14</v>
      </c>
      <c r="G9" s="1"/>
      <c r="H9" s="1" t="s">
        <v>6</v>
      </c>
      <c r="I9" s="1">
        <v>1068</v>
      </c>
      <c r="J9" s="1">
        <v>2.5537000000000001</v>
      </c>
      <c r="K9" s="1">
        <v>-13.281599999999999</v>
      </c>
      <c r="L9" s="1">
        <f t="shared" si="3"/>
        <v>5.2287755531344038E-14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4.25" customHeight="1" x14ac:dyDescent="0.25">
      <c r="A10" s="1" t="s">
        <v>24</v>
      </c>
      <c r="B10" s="1" t="s">
        <v>14</v>
      </c>
      <c r="C10" s="1" t="s">
        <v>7</v>
      </c>
      <c r="D10" s="3">
        <f t="shared" si="0"/>
        <v>96.634839999999997</v>
      </c>
      <c r="E10" s="1">
        <f t="shared" si="1"/>
        <v>795</v>
      </c>
      <c r="F10" s="1">
        <f t="shared" si="2"/>
        <v>5.5847019473682887E-14</v>
      </c>
      <c r="G10" s="1"/>
      <c r="H10" s="1" t="s">
        <v>6</v>
      </c>
      <c r="I10" s="1">
        <v>1068</v>
      </c>
      <c r="J10" s="1">
        <v>3.3651599999999999</v>
      </c>
      <c r="K10" s="1">
        <v>-13.253</v>
      </c>
      <c r="L10" s="1">
        <f t="shared" si="3"/>
        <v>5.5847019473682887E-14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 customHeight="1" x14ac:dyDescent="0.25">
      <c r="A11" s="1" t="s">
        <v>25</v>
      </c>
      <c r="B11" s="1" t="s">
        <v>14</v>
      </c>
      <c r="C11" s="1" t="s">
        <v>7</v>
      </c>
      <c r="D11" s="3">
        <f t="shared" si="0"/>
        <v>97.470169999999996</v>
      </c>
      <c r="E11" s="1">
        <f t="shared" si="1"/>
        <v>780</v>
      </c>
      <c r="F11" s="1">
        <f t="shared" si="2"/>
        <v>5.4038091207907503E-14</v>
      </c>
      <c r="G11" s="1"/>
      <c r="H11" s="1" t="s">
        <v>6</v>
      </c>
      <c r="I11" s="1">
        <v>1053</v>
      </c>
      <c r="J11" s="1">
        <v>2.52983</v>
      </c>
      <c r="K11" s="1">
        <v>-13.267300000000001</v>
      </c>
      <c r="L11" s="1">
        <f t="shared" si="3"/>
        <v>5.4038091207907503E-14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 customHeight="1" x14ac:dyDescent="0.25">
      <c r="A12" s="1" t="s">
        <v>25</v>
      </c>
      <c r="B12" s="1" t="s">
        <v>14</v>
      </c>
      <c r="C12" s="1" t="s">
        <v>7</v>
      </c>
      <c r="D12" s="3">
        <f t="shared" si="0"/>
        <v>97.470169999999996</v>
      </c>
      <c r="E12" s="1">
        <f t="shared" si="1"/>
        <v>780</v>
      </c>
      <c r="F12" s="1">
        <f t="shared" si="2"/>
        <v>4.8150411165566591E-14</v>
      </c>
      <c r="G12" s="1"/>
      <c r="H12" s="1" t="s">
        <v>6</v>
      </c>
      <c r="I12" s="1">
        <v>1053</v>
      </c>
      <c r="J12" s="1">
        <v>2.52983</v>
      </c>
      <c r="K12" s="1">
        <v>-13.317399999999999</v>
      </c>
      <c r="L12" s="1">
        <f t="shared" si="3"/>
        <v>4.8150411165566591E-14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5">
      <c r="A13" s="1" t="s">
        <v>25</v>
      </c>
      <c r="B13" s="1" t="s">
        <v>14</v>
      </c>
      <c r="C13" s="1" t="s">
        <v>7</v>
      </c>
      <c r="D13" s="3">
        <f t="shared" si="0"/>
        <v>95.560860000000005</v>
      </c>
      <c r="E13" s="1">
        <f t="shared" si="1"/>
        <v>780</v>
      </c>
      <c r="F13" s="1">
        <f t="shared" si="2"/>
        <v>5.6780602954866331E-14</v>
      </c>
      <c r="G13" s="1"/>
      <c r="H13" s="1" t="s">
        <v>6</v>
      </c>
      <c r="I13" s="1">
        <v>1053</v>
      </c>
      <c r="J13" s="1">
        <v>4.4391400000000001</v>
      </c>
      <c r="K13" s="1">
        <v>-13.245799999999999</v>
      </c>
      <c r="L13" s="1">
        <f t="shared" si="3"/>
        <v>5.6780602954866331E-14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5">
      <c r="A14" s="1" t="s">
        <v>25</v>
      </c>
      <c r="B14" s="1" t="s">
        <v>14</v>
      </c>
      <c r="C14" s="1" t="s">
        <v>7</v>
      </c>
      <c r="D14" s="3">
        <f t="shared" si="0"/>
        <v>97.470169999999996</v>
      </c>
      <c r="E14" s="1">
        <f t="shared" si="1"/>
        <v>748</v>
      </c>
      <c r="F14" s="1">
        <f t="shared" si="2"/>
        <v>2.3697361843832111E-14</v>
      </c>
      <c r="G14" s="1"/>
      <c r="H14" s="1" t="s">
        <v>6</v>
      </c>
      <c r="I14" s="1">
        <v>1021</v>
      </c>
      <c r="J14" s="1">
        <v>2.52983</v>
      </c>
      <c r="K14" s="1">
        <v>-13.625299999999999</v>
      </c>
      <c r="L14" s="1">
        <f t="shared" si="3"/>
        <v>2.3697361843832111E-14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5">
      <c r="A15" s="1" t="s">
        <v>25</v>
      </c>
      <c r="B15" s="1" t="s">
        <v>14</v>
      </c>
      <c r="C15" s="1" t="s">
        <v>7</v>
      </c>
      <c r="D15" s="3">
        <f t="shared" si="0"/>
        <v>95.560860000000005</v>
      </c>
      <c r="E15" s="1">
        <f t="shared" si="1"/>
        <v>748</v>
      </c>
      <c r="F15" s="1">
        <f t="shared" si="2"/>
        <v>3.1885996933863749E-14</v>
      </c>
      <c r="G15" s="1"/>
      <c r="H15" s="1" t="s">
        <v>6</v>
      </c>
      <c r="I15" s="1">
        <v>1021</v>
      </c>
      <c r="J15" s="1">
        <v>4.4391400000000001</v>
      </c>
      <c r="K15" s="1">
        <v>-13.4964</v>
      </c>
      <c r="L15" s="1">
        <f t="shared" si="3"/>
        <v>3.1885996933863749E-14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5">
      <c r="A16" s="1" t="s">
        <v>25</v>
      </c>
      <c r="B16" s="1" t="s">
        <v>14</v>
      </c>
      <c r="C16" s="1" t="s">
        <v>7</v>
      </c>
      <c r="D16" s="3">
        <f t="shared" si="0"/>
        <v>95.560860000000005</v>
      </c>
      <c r="E16" s="1">
        <f t="shared" si="1"/>
        <v>748</v>
      </c>
      <c r="F16" s="1">
        <f t="shared" si="2"/>
        <v>2.8880186935140402E-14</v>
      </c>
      <c r="G16" s="1"/>
      <c r="H16" s="1" t="s">
        <v>6</v>
      </c>
      <c r="I16" s="1">
        <v>1021</v>
      </c>
      <c r="J16" s="1">
        <v>4.4391400000000001</v>
      </c>
      <c r="K16" s="1">
        <v>-13.539400000000001</v>
      </c>
      <c r="L16" s="1">
        <f t="shared" si="3"/>
        <v>2.8880186935140402E-14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5">
      <c r="A17" s="1" t="s">
        <v>24</v>
      </c>
      <c r="B17" s="1" t="s">
        <v>14</v>
      </c>
      <c r="C17" s="1" t="s">
        <v>7</v>
      </c>
      <c r="D17" s="3">
        <f t="shared" si="0"/>
        <v>99.140810999999999</v>
      </c>
      <c r="E17" s="1">
        <f t="shared" si="1"/>
        <v>690</v>
      </c>
      <c r="F17" s="1">
        <f t="shared" si="2"/>
        <v>4.4096081645063685E-15</v>
      </c>
      <c r="G17" s="1"/>
      <c r="H17" s="1" t="s">
        <v>6</v>
      </c>
      <c r="I17" s="1">
        <v>963</v>
      </c>
      <c r="J17" s="1">
        <v>0.85918899999999998</v>
      </c>
      <c r="K17" s="1">
        <v>-14.355600000000001</v>
      </c>
      <c r="L17" s="1">
        <f t="shared" si="3"/>
        <v>4.4096081645063685E-15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5">
      <c r="A18" s="1" t="s">
        <v>24</v>
      </c>
      <c r="B18" s="1" t="s">
        <v>14</v>
      </c>
      <c r="C18" s="1" t="s">
        <v>7</v>
      </c>
      <c r="D18" s="3">
        <f t="shared" si="0"/>
        <v>97.446299999999994</v>
      </c>
      <c r="E18" s="1">
        <f t="shared" si="1"/>
        <v>690</v>
      </c>
      <c r="F18" s="1">
        <f t="shared" si="2"/>
        <v>5.9333504438000502E-15</v>
      </c>
      <c r="G18" s="1"/>
      <c r="H18" s="1" t="s">
        <v>6</v>
      </c>
      <c r="I18" s="1">
        <v>963</v>
      </c>
      <c r="J18" s="1">
        <v>2.5537000000000001</v>
      </c>
      <c r="K18" s="1">
        <v>-14.226699999999999</v>
      </c>
      <c r="L18" s="1">
        <f t="shared" si="3"/>
        <v>5.9333504438000502E-15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5">
      <c r="A19" s="1" t="s">
        <v>24</v>
      </c>
      <c r="B19" s="1" t="s">
        <v>14</v>
      </c>
      <c r="C19" s="1" t="s">
        <v>7</v>
      </c>
      <c r="D19" s="3">
        <f t="shared" si="0"/>
        <v>96.634839999999997</v>
      </c>
      <c r="E19" s="1">
        <f t="shared" si="1"/>
        <v>690</v>
      </c>
      <c r="F19" s="1">
        <f t="shared" si="2"/>
        <v>6.9968086997856117E-15</v>
      </c>
      <c r="G19" s="1"/>
      <c r="H19" s="1" t="s">
        <v>6</v>
      </c>
      <c r="I19" s="1">
        <v>963</v>
      </c>
      <c r="J19" s="1">
        <v>3.3651599999999999</v>
      </c>
      <c r="K19" s="1">
        <v>-14.155099999999999</v>
      </c>
      <c r="L19" s="1">
        <f t="shared" si="3"/>
        <v>6.9968086997856117E-15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5">
      <c r="A20" s="1" t="s">
        <v>25</v>
      </c>
      <c r="B20" s="1" t="s">
        <v>14</v>
      </c>
      <c r="C20" s="1" t="s">
        <v>7</v>
      </c>
      <c r="D20" s="3">
        <f t="shared" si="0"/>
        <v>97.494029999999995</v>
      </c>
      <c r="E20" s="1">
        <f t="shared" si="1"/>
        <v>653</v>
      </c>
      <c r="F20" s="1">
        <f t="shared" si="2"/>
        <v>2.8255305024595566E-15</v>
      </c>
      <c r="G20" s="1"/>
      <c r="H20" s="1" t="s">
        <v>6</v>
      </c>
      <c r="I20" s="1">
        <v>926</v>
      </c>
      <c r="J20" s="1">
        <v>2.50597</v>
      </c>
      <c r="K20" s="1">
        <v>-14.5489</v>
      </c>
      <c r="L20" s="1">
        <f t="shared" si="3"/>
        <v>2.8255305024595566E-15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customHeight="1" x14ac:dyDescent="0.25">
      <c r="A21" s="1" t="s">
        <v>25</v>
      </c>
      <c r="B21" s="1" t="s">
        <v>14</v>
      </c>
      <c r="C21" s="1" t="s">
        <v>7</v>
      </c>
      <c r="D21" s="3">
        <f t="shared" si="0"/>
        <v>97.470169999999996</v>
      </c>
      <c r="E21" s="1">
        <f t="shared" si="1"/>
        <v>653</v>
      </c>
      <c r="F21" s="1">
        <f t="shared" si="2"/>
        <v>2.5591750909098789E-15</v>
      </c>
      <c r="G21" s="1"/>
      <c r="H21" s="1" t="s">
        <v>6</v>
      </c>
      <c r="I21" s="1">
        <v>926</v>
      </c>
      <c r="J21" s="1">
        <v>2.52983</v>
      </c>
      <c r="K21" s="1">
        <v>-14.591900000000001</v>
      </c>
      <c r="L21" s="1">
        <f t="shared" si="3"/>
        <v>2.5591750909098789E-15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25">
      <c r="A22" s="1" t="s">
        <v>25</v>
      </c>
      <c r="B22" s="1" t="s">
        <v>14</v>
      </c>
      <c r="C22" s="1" t="s">
        <v>7</v>
      </c>
      <c r="D22" s="3">
        <f t="shared" si="0"/>
        <v>95.560860000000005</v>
      </c>
      <c r="E22" s="1">
        <f t="shared" si="1"/>
        <v>653</v>
      </c>
      <c r="F22" s="1">
        <f t="shared" si="2"/>
        <v>3.1710274389478838E-15</v>
      </c>
      <c r="G22" s="1"/>
      <c r="H22" s="1" t="s">
        <v>6</v>
      </c>
      <c r="I22" s="1">
        <v>926</v>
      </c>
      <c r="J22" s="1">
        <v>4.4391400000000001</v>
      </c>
      <c r="K22" s="1">
        <v>-14.498799999999999</v>
      </c>
      <c r="L22" s="1">
        <f t="shared" si="3"/>
        <v>3.1710274389478838E-15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5">
      <c r="A23" s="1" t="s">
        <v>25</v>
      </c>
      <c r="B23" s="1" t="s">
        <v>14</v>
      </c>
      <c r="C23" s="1" t="s">
        <v>7</v>
      </c>
      <c r="D23" s="3">
        <f t="shared" si="0"/>
        <v>95.560860000000005</v>
      </c>
      <c r="E23" s="1">
        <f t="shared" si="1"/>
        <v>653</v>
      </c>
      <c r="F23" s="1">
        <f t="shared" si="2"/>
        <v>2.7790732888090861E-15</v>
      </c>
      <c r="G23" s="1"/>
      <c r="H23" s="1" t="s">
        <v>6</v>
      </c>
      <c r="I23" s="1">
        <v>926</v>
      </c>
      <c r="J23" s="1">
        <v>4.4391400000000001</v>
      </c>
      <c r="K23" s="1">
        <v>-14.556100000000001</v>
      </c>
      <c r="L23" s="1">
        <f t="shared" si="3"/>
        <v>2.7790732888090861E-15</v>
      </c>
      <c r="M23" s="1"/>
      <c r="N23" s="1"/>
      <c r="O23" s="6" t="s">
        <v>30</v>
      </c>
      <c r="P23" s="1"/>
      <c r="Q23" s="1"/>
      <c r="R23" s="1"/>
      <c r="S23" s="1"/>
      <c r="T23" s="1"/>
      <c r="U23" s="1"/>
      <c r="V23" s="1"/>
    </row>
    <row r="24" spans="1:22" ht="14.25" customHeight="1" x14ac:dyDescent="0.25">
      <c r="A24" s="6" t="s">
        <v>27</v>
      </c>
      <c r="B24" s="6" t="s">
        <v>15</v>
      </c>
      <c r="C24" s="6" t="s">
        <v>28</v>
      </c>
      <c r="D24" s="5">
        <f t="shared" ref="D24:D68" si="4">J24</f>
        <v>0</v>
      </c>
      <c r="E24" s="1">
        <f t="shared" si="1"/>
        <v>1000</v>
      </c>
      <c r="F24" s="1">
        <f t="shared" ref="F24:F68" si="5">O24*0.00000000000001</f>
        <v>5.9000000000000001E-13</v>
      </c>
      <c r="G24" s="1"/>
      <c r="H24" s="1"/>
      <c r="I24" s="4">
        <v>1273</v>
      </c>
      <c r="J24" s="4">
        <v>0</v>
      </c>
      <c r="K24" s="4">
        <v>-12.2021</v>
      </c>
      <c r="L24" s="4">
        <f t="shared" si="3"/>
        <v>6.2791375968009358E-13</v>
      </c>
      <c r="M24" s="4" t="s">
        <v>26</v>
      </c>
      <c r="N24" s="1"/>
      <c r="O24" s="1">
        <v>59</v>
      </c>
      <c r="P24" s="1"/>
      <c r="Q24" s="1"/>
      <c r="R24" s="1"/>
      <c r="S24" s="1"/>
      <c r="T24" s="1"/>
      <c r="U24" s="1"/>
      <c r="V24" s="1"/>
    </row>
    <row r="25" spans="1:22" ht="14.25" customHeight="1" x14ac:dyDescent="0.25">
      <c r="A25" s="6" t="s">
        <v>27</v>
      </c>
      <c r="B25" s="6" t="s">
        <v>15</v>
      </c>
      <c r="C25" s="6" t="s">
        <v>28</v>
      </c>
      <c r="D25" s="5">
        <f t="shared" si="4"/>
        <v>0.5</v>
      </c>
      <c r="E25" s="1">
        <f t="shared" si="1"/>
        <v>1000</v>
      </c>
      <c r="F25" s="1">
        <f t="shared" si="5"/>
        <v>6.4E-13</v>
      </c>
      <c r="H25" s="1"/>
      <c r="I25" s="1">
        <v>1273</v>
      </c>
      <c r="J25" s="1">
        <v>0.5</v>
      </c>
      <c r="K25" s="1">
        <v>-12.1608</v>
      </c>
      <c r="L25" s="1">
        <f t="shared" si="3"/>
        <v>6.9055774421968243E-13</v>
      </c>
      <c r="M25" s="1"/>
      <c r="N25" s="1"/>
      <c r="O25" s="1">
        <v>64</v>
      </c>
      <c r="P25" s="1"/>
      <c r="Q25" s="1"/>
      <c r="R25" s="1"/>
      <c r="S25" s="1"/>
      <c r="T25" s="1"/>
      <c r="U25" s="1"/>
      <c r="V25" s="1"/>
    </row>
    <row r="26" spans="1:22" ht="14.25" customHeight="1" x14ac:dyDescent="0.25">
      <c r="A26" s="6" t="s">
        <v>27</v>
      </c>
      <c r="B26" s="6" t="s">
        <v>15</v>
      </c>
      <c r="C26" s="6" t="s">
        <v>28</v>
      </c>
      <c r="D26" s="5">
        <f t="shared" si="4"/>
        <v>1</v>
      </c>
      <c r="E26" s="1">
        <f t="shared" si="1"/>
        <v>1000</v>
      </c>
      <c r="F26" s="1">
        <f t="shared" si="5"/>
        <v>6.3000000000000004E-13</v>
      </c>
      <c r="G26" s="1"/>
      <c r="H26" s="1"/>
      <c r="I26" s="1">
        <v>1273</v>
      </c>
      <c r="J26" s="1">
        <v>1</v>
      </c>
      <c r="K26" s="1">
        <v>-12.171099999999999</v>
      </c>
      <c r="L26" s="1">
        <f t="shared" si="3"/>
        <v>6.743727297598056E-13</v>
      </c>
      <c r="M26" s="1"/>
      <c r="N26" s="1"/>
      <c r="O26" s="1">
        <v>63</v>
      </c>
      <c r="P26" s="1"/>
      <c r="Q26" s="1"/>
      <c r="R26" s="1"/>
      <c r="S26" s="1"/>
      <c r="T26" s="1"/>
      <c r="U26" s="1"/>
      <c r="V26" s="1"/>
    </row>
    <row r="27" spans="1:22" ht="14.25" customHeight="1" x14ac:dyDescent="0.25">
      <c r="A27" s="6" t="s">
        <v>27</v>
      </c>
      <c r="B27" s="6" t="s">
        <v>15</v>
      </c>
      <c r="C27" s="6" t="s">
        <v>28</v>
      </c>
      <c r="D27" s="5">
        <f t="shared" si="4"/>
        <v>1.5</v>
      </c>
      <c r="E27" s="1">
        <f t="shared" si="1"/>
        <v>1000</v>
      </c>
      <c r="F27" s="1">
        <f t="shared" si="5"/>
        <v>7.0000000000000005E-13</v>
      </c>
      <c r="G27" s="1"/>
      <c r="H27" s="1"/>
      <c r="I27" s="1">
        <v>1273</v>
      </c>
      <c r="J27" s="1">
        <v>1.5</v>
      </c>
      <c r="K27" s="1">
        <v>-12.1195</v>
      </c>
      <c r="L27" s="1">
        <f t="shared" si="3"/>
        <v>7.5945142266786713E-13</v>
      </c>
      <c r="M27" s="1"/>
      <c r="N27" s="1"/>
      <c r="O27" s="6">
        <v>70</v>
      </c>
      <c r="P27" s="1"/>
      <c r="Q27" s="1"/>
      <c r="R27" s="1"/>
      <c r="S27" s="1"/>
      <c r="T27" s="1"/>
      <c r="U27" s="1"/>
      <c r="V27" s="1"/>
    </row>
    <row r="28" spans="1:22" ht="14.25" customHeight="1" x14ac:dyDescent="0.25">
      <c r="A28" s="6" t="s">
        <v>27</v>
      </c>
      <c r="B28" s="6" t="s">
        <v>15</v>
      </c>
      <c r="C28" s="6" t="s">
        <v>28</v>
      </c>
      <c r="D28" s="5">
        <f t="shared" si="4"/>
        <v>2</v>
      </c>
      <c r="E28" s="1">
        <f t="shared" si="1"/>
        <v>1000</v>
      </c>
      <c r="F28" s="1">
        <f t="shared" si="5"/>
        <v>7.1E-13</v>
      </c>
      <c r="G28" s="1"/>
      <c r="H28" s="1"/>
      <c r="I28" s="1">
        <v>1273</v>
      </c>
      <c r="J28" s="1">
        <v>2</v>
      </c>
      <c r="K28" s="1">
        <v>-12.1195</v>
      </c>
      <c r="L28" s="1">
        <f t="shared" si="3"/>
        <v>7.5945142266786713E-13</v>
      </c>
      <c r="M28" s="1"/>
      <c r="N28" s="1"/>
      <c r="O28" s="6">
        <v>71</v>
      </c>
      <c r="P28" s="1"/>
      <c r="Q28" s="1"/>
      <c r="R28" s="1"/>
      <c r="S28" s="1"/>
      <c r="T28" s="1"/>
      <c r="U28" s="1"/>
      <c r="V28" s="1"/>
    </row>
    <row r="29" spans="1:22" ht="14.25" customHeight="1" x14ac:dyDescent="0.25">
      <c r="A29" s="6" t="s">
        <v>27</v>
      </c>
      <c r="B29" s="6" t="s">
        <v>15</v>
      </c>
      <c r="C29" s="6" t="s">
        <v>28</v>
      </c>
      <c r="D29" s="5">
        <f t="shared" si="4"/>
        <v>0</v>
      </c>
      <c r="E29" s="1">
        <f t="shared" si="1"/>
        <v>949</v>
      </c>
      <c r="F29" s="1">
        <f t="shared" si="5"/>
        <v>2.7000000000000001E-13</v>
      </c>
      <c r="G29" s="1"/>
      <c r="H29" s="1"/>
      <c r="I29" s="1">
        <v>1222</v>
      </c>
      <c r="J29" s="1">
        <v>0</v>
      </c>
      <c r="K29" s="1">
        <v>-12.5428</v>
      </c>
      <c r="L29" s="1">
        <f t="shared" si="3"/>
        <v>2.8654972763642325E-13</v>
      </c>
      <c r="M29" s="1"/>
      <c r="N29" s="1"/>
      <c r="O29" s="6">
        <v>27</v>
      </c>
      <c r="P29" s="1"/>
      <c r="Q29" s="1"/>
      <c r="R29" s="1"/>
      <c r="S29" s="1"/>
      <c r="T29" s="1"/>
      <c r="U29" s="1"/>
      <c r="V29" s="1"/>
    </row>
    <row r="30" spans="1:22" ht="14.25" customHeight="1" x14ac:dyDescent="0.25">
      <c r="A30" s="6" t="s">
        <v>27</v>
      </c>
      <c r="B30" s="6" t="s">
        <v>15</v>
      </c>
      <c r="C30" s="6" t="s">
        <v>28</v>
      </c>
      <c r="D30" s="5">
        <f t="shared" si="4"/>
        <v>0.5</v>
      </c>
      <c r="E30" s="1">
        <f t="shared" si="1"/>
        <v>949</v>
      </c>
      <c r="F30" s="1">
        <f t="shared" si="5"/>
        <v>3.0999999999999999E-13</v>
      </c>
      <c r="G30" s="1"/>
      <c r="H30" s="1"/>
      <c r="I30" s="1">
        <v>1222</v>
      </c>
      <c r="J30" s="1">
        <v>0.5</v>
      </c>
      <c r="K30" s="1">
        <v>-12.4808</v>
      </c>
      <c r="L30" s="1">
        <f t="shared" si="3"/>
        <v>3.3052171686997934E-13</v>
      </c>
      <c r="M30" s="1"/>
      <c r="N30" s="1"/>
      <c r="O30" s="6">
        <v>31</v>
      </c>
      <c r="P30" s="1"/>
      <c r="Q30" s="1"/>
      <c r="R30" s="1"/>
      <c r="S30" s="1"/>
      <c r="T30" s="1"/>
      <c r="U30" s="1"/>
      <c r="V30" s="1"/>
    </row>
    <row r="31" spans="1:22" ht="14.25" customHeight="1" x14ac:dyDescent="0.25">
      <c r="A31" s="6" t="s">
        <v>27</v>
      </c>
      <c r="B31" s="6" t="s">
        <v>15</v>
      </c>
      <c r="C31" s="6" t="s">
        <v>28</v>
      </c>
      <c r="D31" s="5">
        <f t="shared" si="4"/>
        <v>1</v>
      </c>
      <c r="E31" s="1">
        <f t="shared" si="1"/>
        <v>949</v>
      </c>
      <c r="F31" s="1">
        <f t="shared" si="5"/>
        <v>3.2E-13</v>
      </c>
      <c r="G31" s="1"/>
      <c r="H31" s="1"/>
      <c r="I31" s="1">
        <v>1222</v>
      </c>
      <c r="J31" s="1">
        <v>1</v>
      </c>
      <c r="K31" s="1">
        <v>-12.4808</v>
      </c>
      <c r="L31" s="1">
        <f t="shared" si="3"/>
        <v>3.3052171686997934E-13</v>
      </c>
      <c r="M31" s="1"/>
      <c r="N31" s="1"/>
      <c r="O31" s="6">
        <v>32</v>
      </c>
      <c r="P31" s="1"/>
      <c r="Q31" s="1"/>
      <c r="R31" s="1"/>
      <c r="S31" s="1"/>
      <c r="T31" s="1"/>
      <c r="U31" s="1"/>
      <c r="V31" s="1"/>
    </row>
    <row r="32" spans="1:22" ht="14.25" customHeight="1" x14ac:dyDescent="0.25">
      <c r="A32" s="6" t="s">
        <v>27</v>
      </c>
      <c r="B32" s="6" t="s">
        <v>15</v>
      </c>
      <c r="C32" s="6" t="s">
        <v>28</v>
      </c>
      <c r="D32" s="5">
        <f t="shared" si="4"/>
        <v>1.5</v>
      </c>
      <c r="E32" s="1">
        <f t="shared" si="1"/>
        <v>949</v>
      </c>
      <c r="F32" s="1">
        <f t="shared" si="5"/>
        <v>3.5000000000000002E-13</v>
      </c>
      <c r="G32" s="1"/>
      <c r="H32" s="1"/>
      <c r="I32" s="1">
        <v>1222</v>
      </c>
      <c r="J32" s="1">
        <v>1.5</v>
      </c>
      <c r="K32" s="1">
        <v>-12.4292</v>
      </c>
      <c r="L32" s="1">
        <f t="shared" si="3"/>
        <v>3.7222025301784951E-13</v>
      </c>
      <c r="M32" s="1"/>
      <c r="N32" s="1"/>
      <c r="O32" s="6">
        <v>35</v>
      </c>
      <c r="P32" s="1"/>
      <c r="Q32" s="1"/>
      <c r="R32" s="1"/>
      <c r="S32" s="1"/>
      <c r="T32" s="1"/>
      <c r="U32" s="1"/>
      <c r="V32" s="1"/>
    </row>
    <row r="33" spans="1:22" ht="14.25" customHeight="1" x14ac:dyDescent="0.25">
      <c r="A33" s="6" t="s">
        <v>27</v>
      </c>
      <c r="B33" s="6" t="s">
        <v>15</v>
      </c>
      <c r="C33" s="6" t="s">
        <v>28</v>
      </c>
      <c r="D33" s="5">
        <f t="shared" si="4"/>
        <v>2</v>
      </c>
      <c r="E33" s="1">
        <f t="shared" si="1"/>
        <v>949</v>
      </c>
      <c r="F33" s="1">
        <f t="shared" si="5"/>
        <v>3.3000000000000001E-13</v>
      </c>
      <c r="G33" s="1"/>
      <c r="H33" s="1"/>
      <c r="I33" s="1">
        <v>1222</v>
      </c>
      <c r="J33" s="1">
        <v>2</v>
      </c>
      <c r="K33" s="1">
        <v>-12.4499</v>
      </c>
      <c r="L33" s="1">
        <f t="shared" si="3"/>
        <v>3.5489509744230401E-13</v>
      </c>
      <c r="M33" s="1"/>
      <c r="N33" s="1"/>
      <c r="O33" s="6">
        <v>33</v>
      </c>
      <c r="P33" s="1"/>
      <c r="Q33" s="1"/>
      <c r="R33" s="1"/>
      <c r="S33" s="1"/>
      <c r="T33" s="1"/>
      <c r="U33" s="1"/>
      <c r="V33" s="1"/>
    </row>
    <row r="34" spans="1:22" ht="14.25" customHeight="1" x14ac:dyDescent="0.25">
      <c r="A34" s="6" t="s">
        <v>27</v>
      </c>
      <c r="B34" s="6" t="s">
        <v>15</v>
      </c>
      <c r="C34" s="6" t="s">
        <v>28</v>
      </c>
      <c r="D34" s="5">
        <f t="shared" si="4"/>
        <v>0</v>
      </c>
      <c r="E34" s="1">
        <f t="shared" ref="E34:E68" si="6">I34 - 273</f>
        <v>901</v>
      </c>
      <c r="F34" s="1">
        <f t="shared" si="5"/>
        <v>1.3900000000000001E-13</v>
      </c>
      <c r="G34" s="1"/>
      <c r="H34" s="1"/>
      <c r="I34" s="1">
        <v>1174</v>
      </c>
      <c r="J34" s="1">
        <v>0</v>
      </c>
      <c r="K34" s="1">
        <v>-12.831899999999999</v>
      </c>
      <c r="L34" s="1">
        <f t="shared" si="3"/>
        <v>1.4726515539480003E-13</v>
      </c>
      <c r="M34" s="1"/>
      <c r="N34" s="1"/>
      <c r="O34" s="6">
        <v>13.9</v>
      </c>
      <c r="P34" s="1"/>
      <c r="Q34" s="1"/>
      <c r="R34" s="1"/>
      <c r="S34" s="1"/>
      <c r="T34" s="1"/>
      <c r="U34" s="1"/>
      <c r="V34" s="1"/>
    </row>
    <row r="35" spans="1:22" ht="14.25" customHeight="1" x14ac:dyDescent="0.25">
      <c r="A35" s="6" t="s">
        <v>27</v>
      </c>
      <c r="B35" s="6" t="s">
        <v>15</v>
      </c>
      <c r="C35" s="6" t="s">
        <v>28</v>
      </c>
      <c r="D35" s="5">
        <f t="shared" si="4"/>
        <v>0.5</v>
      </c>
      <c r="E35" s="1">
        <f t="shared" si="6"/>
        <v>901</v>
      </c>
      <c r="F35" s="1">
        <f t="shared" si="5"/>
        <v>1.54E-13</v>
      </c>
      <c r="G35" s="1"/>
      <c r="H35" s="1"/>
      <c r="I35" s="1">
        <v>1174</v>
      </c>
      <c r="J35" s="1">
        <v>0.5</v>
      </c>
      <c r="K35" s="1">
        <v>-12.7906</v>
      </c>
      <c r="L35" s="1">
        <f t="shared" si="3"/>
        <v>1.6195710309550344E-13</v>
      </c>
      <c r="M35" s="1"/>
      <c r="N35" s="1"/>
      <c r="O35" s="6">
        <v>15.4</v>
      </c>
      <c r="P35" s="1"/>
      <c r="Q35" s="1"/>
      <c r="R35" s="1"/>
      <c r="S35" s="1"/>
      <c r="T35" s="1"/>
      <c r="U35" s="1"/>
      <c r="V35" s="1"/>
    </row>
    <row r="36" spans="1:22" ht="14.25" customHeight="1" x14ac:dyDescent="0.25">
      <c r="A36" s="6" t="s">
        <v>27</v>
      </c>
      <c r="B36" s="6" t="s">
        <v>15</v>
      </c>
      <c r="C36" s="6" t="s">
        <v>28</v>
      </c>
      <c r="D36" s="5">
        <f t="shared" si="4"/>
        <v>1</v>
      </c>
      <c r="E36" s="1">
        <f t="shared" si="6"/>
        <v>901</v>
      </c>
      <c r="F36" s="1">
        <f t="shared" si="5"/>
        <v>1.4999999999999999E-13</v>
      </c>
      <c r="G36" s="1"/>
      <c r="H36" s="1"/>
      <c r="I36" s="1">
        <v>1174</v>
      </c>
      <c r="J36" s="1">
        <v>1</v>
      </c>
      <c r="K36" s="1">
        <v>-12.8009</v>
      </c>
      <c r="L36" s="1">
        <f t="shared" si="3"/>
        <v>1.5816121770080286E-13</v>
      </c>
      <c r="M36" s="1"/>
      <c r="N36" s="1"/>
      <c r="O36" s="6">
        <v>15</v>
      </c>
      <c r="P36" s="1"/>
      <c r="Q36" s="1"/>
      <c r="R36" s="1"/>
      <c r="S36" s="1"/>
      <c r="T36" s="1"/>
      <c r="U36" s="1"/>
      <c r="V36" s="1"/>
    </row>
    <row r="37" spans="1:22" ht="14.25" customHeight="1" x14ac:dyDescent="0.25">
      <c r="A37" s="6" t="s">
        <v>27</v>
      </c>
      <c r="B37" s="6" t="s">
        <v>15</v>
      </c>
      <c r="C37" s="6" t="s">
        <v>28</v>
      </c>
      <c r="D37" s="5">
        <f t="shared" si="4"/>
        <v>1.5</v>
      </c>
      <c r="E37" s="1">
        <f t="shared" si="6"/>
        <v>901</v>
      </c>
      <c r="F37" s="1">
        <f t="shared" si="5"/>
        <v>1.6399999999999998E-13</v>
      </c>
      <c r="G37" s="1"/>
      <c r="H37" s="1"/>
      <c r="I37" s="1">
        <v>1174</v>
      </c>
      <c r="J37" s="1">
        <v>1.5</v>
      </c>
      <c r="K37" s="1">
        <v>-12.759600000000001</v>
      </c>
      <c r="L37" s="1">
        <f t="shared" si="3"/>
        <v>1.7394021397802959E-13</v>
      </c>
      <c r="M37" s="1"/>
      <c r="N37" s="1"/>
      <c r="O37" s="6">
        <v>16.399999999999999</v>
      </c>
      <c r="P37" s="1"/>
      <c r="Q37" s="1"/>
      <c r="R37" s="1"/>
      <c r="S37" s="1"/>
      <c r="T37" s="1"/>
      <c r="U37" s="1"/>
      <c r="V37" s="1"/>
    </row>
    <row r="38" spans="1:22" ht="14.25" customHeight="1" x14ac:dyDescent="0.25">
      <c r="A38" s="6" t="s">
        <v>27</v>
      </c>
      <c r="B38" s="6" t="s">
        <v>15</v>
      </c>
      <c r="C38" s="6" t="s">
        <v>28</v>
      </c>
      <c r="D38" s="5">
        <f t="shared" si="4"/>
        <v>2</v>
      </c>
      <c r="E38" s="1">
        <f t="shared" si="6"/>
        <v>901</v>
      </c>
      <c r="F38" s="1">
        <f t="shared" si="5"/>
        <v>1.7299999999999999E-13</v>
      </c>
      <c r="G38" s="1"/>
      <c r="H38" s="1"/>
      <c r="I38" s="1">
        <v>1174</v>
      </c>
      <c r="J38" s="1">
        <v>2</v>
      </c>
      <c r="K38" s="1">
        <v>-12.738899999999999</v>
      </c>
      <c r="L38" s="1">
        <f t="shared" si="3"/>
        <v>1.8243157181794285E-13</v>
      </c>
      <c r="M38" s="1"/>
      <c r="N38" s="1"/>
      <c r="O38" s="6">
        <v>17.3</v>
      </c>
      <c r="P38" s="1"/>
      <c r="Q38" s="1"/>
      <c r="R38" s="1"/>
      <c r="S38" s="1"/>
      <c r="T38" s="1"/>
      <c r="U38" s="1"/>
      <c r="V38" s="1"/>
    </row>
    <row r="39" spans="1:22" ht="14.25" customHeight="1" x14ac:dyDescent="0.25">
      <c r="A39" s="6" t="s">
        <v>27</v>
      </c>
      <c r="B39" s="6" t="s">
        <v>15</v>
      </c>
      <c r="C39" s="6" t="s">
        <v>28</v>
      </c>
      <c r="D39" s="5">
        <f t="shared" si="4"/>
        <v>0</v>
      </c>
      <c r="E39" s="1">
        <f t="shared" si="6"/>
        <v>859</v>
      </c>
      <c r="F39" s="1">
        <f t="shared" si="5"/>
        <v>5.9999999999999997E-14</v>
      </c>
      <c r="G39" s="1"/>
      <c r="H39" s="1"/>
      <c r="I39" s="1">
        <v>1132</v>
      </c>
      <c r="J39" s="1">
        <v>0</v>
      </c>
      <c r="K39" s="1">
        <v>-13.2035</v>
      </c>
      <c r="L39" s="1">
        <f t="shared" si="3"/>
        <v>6.2589286392143921E-14</v>
      </c>
      <c r="M39" s="1"/>
      <c r="N39" s="1"/>
      <c r="O39" s="6">
        <v>6</v>
      </c>
      <c r="P39" s="1"/>
      <c r="Q39" s="1"/>
      <c r="R39" s="1"/>
      <c r="S39" s="1"/>
      <c r="T39" s="1"/>
      <c r="U39" s="1"/>
      <c r="V39" s="1"/>
    </row>
    <row r="40" spans="1:22" ht="14.25" customHeight="1" x14ac:dyDescent="0.25">
      <c r="A40" s="6" t="s">
        <v>27</v>
      </c>
      <c r="B40" s="6" t="s">
        <v>15</v>
      </c>
      <c r="C40" s="6" t="s">
        <v>28</v>
      </c>
      <c r="D40" s="5">
        <f t="shared" si="4"/>
        <v>0.5</v>
      </c>
      <c r="E40" s="1">
        <f t="shared" si="6"/>
        <v>859</v>
      </c>
      <c r="F40" s="1">
        <f t="shared" si="5"/>
        <v>6.9000000000000009E-14</v>
      </c>
      <c r="G40" s="1"/>
      <c r="H40" s="1"/>
      <c r="I40" s="1">
        <v>1132</v>
      </c>
      <c r="J40" s="1">
        <v>0.5</v>
      </c>
      <c r="K40" s="1">
        <v>-13.1416</v>
      </c>
      <c r="L40" s="1">
        <f t="shared" si="3"/>
        <v>7.2177194966869667E-14</v>
      </c>
      <c r="M40" s="1"/>
      <c r="N40" s="1"/>
      <c r="O40" s="6">
        <v>6.9</v>
      </c>
      <c r="P40" s="1"/>
      <c r="Q40" s="1"/>
      <c r="R40" s="1"/>
      <c r="S40" s="1"/>
      <c r="T40" s="1"/>
      <c r="U40" s="1"/>
      <c r="V40" s="1"/>
    </row>
    <row r="41" spans="1:22" ht="14.25" customHeight="1" x14ac:dyDescent="0.25">
      <c r="A41" s="6" t="s">
        <v>27</v>
      </c>
      <c r="B41" s="6" t="s">
        <v>15</v>
      </c>
      <c r="C41" s="6" t="s">
        <v>28</v>
      </c>
      <c r="D41" s="5">
        <f t="shared" si="4"/>
        <v>1</v>
      </c>
      <c r="E41" s="1">
        <f t="shared" si="6"/>
        <v>859</v>
      </c>
      <c r="F41" s="1">
        <f t="shared" si="5"/>
        <v>6.9000000000000009E-14</v>
      </c>
      <c r="G41" s="1"/>
      <c r="H41" s="1"/>
      <c r="I41" s="1">
        <v>1132</v>
      </c>
      <c r="J41" s="1">
        <v>1</v>
      </c>
      <c r="K41" s="1">
        <v>-13.1416</v>
      </c>
      <c r="L41" s="1">
        <f t="shared" si="3"/>
        <v>7.2177194966869667E-14</v>
      </c>
      <c r="M41" s="1"/>
      <c r="N41" s="1"/>
      <c r="O41" s="6">
        <v>6.9</v>
      </c>
      <c r="P41" s="1"/>
      <c r="Q41" s="1"/>
      <c r="R41" s="1"/>
      <c r="S41" s="1"/>
      <c r="T41" s="1"/>
      <c r="U41" s="1"/>
      <c r="V41" s="1"/>
    </row>
    <row r="42" spans="1:22" ht="14.25" customHeight="1" x14ac:dyDescent="0.25">
      <c r="A42" s="6" t="s">
        <v>27</v>
      </c>
      <c r="B42" s="6" t="s">
        <v>15</v>
      </c>
      <c r="C42" s="6" t="s">
        <v>28</v>
      </c>
      <c r="D42" s="5">
        <f t="shared" si="4"/>
        <v>1.5</v>
      </c>
      <c r="E42" s="1">
        <f t="shared" si="6"/>
        <v>859</v>
      </c>
      <c r="F42" s="1">
        <f t="shared" si="5"/>
        <v>7.4999999999999996E-14</v>
      </c>
      <c r="G42" s="1"/>
      <c r="H42" s="1"/>
      <c r="I42" s="1">
        <v>1132</v>
      </c>
      <c r="J42" s="1">
        <v>1.5</v>
      </c>
      <c r="K42" s="1">
        <v>-13.100300000000001</v>
      </c>
      <c r="L42" s="1">
        <f t="shared" si="3"/>
        <v>7.9377972169011313E-14</v>
      </c>
      <c r="M42" s="1"/>
      <c r="N42" s="1"/>
      <c r="O42" s="6">
        <v>7.5</v>
      </c>
      <c r="P42" s="1"/>
      <c r="Q42" s="1"/>
      <c r="R42" s="1"/>
      <c r="S42" s="1"/>
      <c r="T42" s="1"/>
      <c r="U42" s="1"/>
      <c r="V42" s="1"/>
    </row>
    <row r="43" spans="1:22" ht="14.25" customHeight="1" x14ac:dyDescent="0.25">
      <c r="A43" s="6" t="s">
        <v>27</v>
      </c>
      <c r="B43" s="6" t="s">
        <v>15</v>
      </c>
      <c r="C43" s="6" t="s">
        <v>28</v>
      </c>
      <c r="D43" s="5">
        <f t="shared" si="4"/>
        <v>2</v>
      </c>
      <c r="E43" s="1">
        <f t="shared" si="6"/>
        <v>859</v>
      </c>
      <c r="F43" s="1">
        <f t="shared" si="5"/>
        <v>7.5999999999999992E-14</v>
      </c>
      <c r="G43" s="1"/>
      <c r="H43" s="1"/>
      <c r="I43" s="1">
        <v>1132</v>
      </c>
      <c r="J43" s="1">
        <v>2</v>
      </c>
      <c r="K43" s="1">
        <v>-13.100300000000001</v>
      </c>
      <c r="L43" s="1">
        <f t="shared" si="3"/>
        <v>7.9377972169011313E-14</v>
      </c>
      <c r="M43" s="1"/>
      <c r="N43" s="1"/>
      <c r="O43" s="6">
        <v>7.6</v>
      </c>
      <c r="P43" s="1"/>
      <c r="Q43" s="1"/>
      <c r="R43" s="1"/>
      <c r="S43" s="1"/>
      <c r="T43" s="1"/>
      <c r="U43" s="1"/>
      <c r="V43" s="1"/>
    </row>
    <row r="44" spans="1:22" ht="14.25" customHeight="1" x14ac:dyDescent="0.25">
      <c r="A44" s="6" t="s">
        <v>27</v>
      </c>
      <c r="B44" s="6" t="s">
        <v>15</v>
      </c>
      <c r="C44" s="6" t="s">
        <v>28</v>
      </c>
      <c r="D44" s="5">
        <f t="shared" si="4"/>
        <v>0</v>
      </c>
      <c r="E44" s="1">
        <f t="shared" si="6"/>
        <v>827</v>
      </c>
      <c r="F44" s="1">
        <f t="shared" si="5"/>
        <v>3.2000000000000002E-14</v>
      </c>
      <c r="G44" s="1"/>
      <c r="H44" s="1"/>
      <c r="I44" s="1">
        <v>1100</v>
      </c>
      <c r="J44" s="1">
        <v>0</v>
      </c>
      <c r="K44" s="1">
        <v>-13.4823</v>
      </c>
      <c r="L44" s="1">
        <f t="shared" si="3"/>
        <v>3.2938210447649272E-14</v>
      </c>
      <c r="M44" s="1"/>
      <c r="N44" s="1"/>
      <c r="O44" s="6">
        <v>3.2</v>
      </c>
      <c r="P44" s="1"/>
      <c r="Q44" s="1"/>
      <c r="R44" s="1"/>
      <c r="S44" s="1"/>
      <c r="T44" s="1"/>
      <c r="U44" s="1"/>
      <c r="V44" s="1"/>
    </row>
    <row r="45" spans="1:22" ht="14.25" customHeight="1" x14ac:dyDescent="0.25">
      <c r="A45" s="6" t="s">
        <v>27</v>
      </c>
      <c r="B45" s="6" t="s">
        <v>15</v>
      </c>
      <c r="C45" s="6" t="s">
        <v>28</v>
      </c>
      <c r="D45" s="5">
        <f t="shared" si="4"/>
        <v>0.5</v>
      </c>
      <c r="E45" s="1">
        <f t="shared" si="6"/>
        <v>827</v>
      </c>
      <c r="F45" s="1">
        <f t="shared" si="5"/>
        <v>3.5000000000000002E-14</v>
      </c>
      <c r="G45" s="1"/>
      <c r="H45" s="1"/>
      <c r="I45" s="1">
        <v>1100</v>
      </c>
      <c r="J45" s="1">
        <v>0.5</v>
      </c>
      <c r="K45" s="1">
        <v>-13.441000000000001</v>
      </c>
      <c r="L45" s="1">
        <f t="shared" si="3"/>
        <v>3.6224299841669726E-14</v>
      </c>
      <c r="M45" s="1"/>
      <c r="N45" s="1"/>
      <c r="O45" s="6">
        <v>3.5</v>
      </c>
      <c r="P45" s="1"/>
      <c r="Q45" s="1"/>
      <c r="R45" s="1"/>
      <c r="S45" s="1"/>
      <c r="T45" s="1"/>
      <c r="U45" s="1"/>
      <c r="V45" s="1"/>
    </row>
    <row r="46" spans="1:22" ht="14.25" customHeight="1" x14ac:dyDescent="0.25">
      <c r="A46" s="6" t="s">
        <v>27</v>
      </c>
      <c r="B46" s="6" t="s">
        <v>15</v>
      </c>
      <c r="C46" s="6" t="s">
        <v>28</v>
      </c>
      <c r="D46" s="5">
        <f t="shared" si="4"/>
        <v>1</v>
      </c>
      <c r="E46" s="1">
        <f t="shared" si="6"/>
        <v>827</v>
      </c>
      <c r="F46" s="1">
        <f t="shared" si="5"/>
        <v>3.7999999999999996E-14</v>
      </c>
      <c r="G46" s="1"/>
      <c r="H46" s="1"/>
      <c r="I46" s="1">
        <v>1100</v>
      </c>
      <c r="J46" s="1">
        <v>1</v>
      </c>
      <c r="K46" s="1">
        <v>-13.399699999999999</v>
      </c>
      <c r="L46" s="1">
        <f t="shared" si="3"/>
        <v>3.9838226824883463E-14</v>
      </c>
      <c r="M46" s="1"/>
      <c r="N46" s="1"/>
      <c r="O46" s="6">
        <v>3.8</v>
      </c>
      <c r="P46" s="1"/>
      <c r="Q46" s="1"/>
      <c r="R46" s="1"/>
      <c r="S46" s="1"/>
      <c r="T46" s="1"/>
      <c r="U46" s="1"/>
      <c r="V46" s="1"/>
    </row>
    <row r="47" spans="1:22" ht="14.25" customHeight="1" x14ac:dyDescent="0.25">
      <c r="A47" s="6" t="s">
        <v>27</v>
      </c>
      <c r="B47" s="6" t="s">
        <v>15</v>
      </c>
      <c r="C47" s="6" t="s">
        <v>28</v>
      </c>
      <c r="D47" s="5">
        <f t="shared" si="4"/>
        <v>1.5</v>
      </c>
      <c r="E47" s="1">
        <f t="shared" si="6"/>
        <v>827</v>
      </c>
      <c r="F47" s="1">
        <f t="shared" si="5"/>
        <v>4.3E-14</v>
      </c>
      <c r="G47" s="1"/>
      <c r="H47" s="1"/>
      <c r="I47" s="1">
        <v>1100</v>
      </c>
      <c r="J47" s="1">
        <v>1.5</v>
      </c>
      <c r="K47" s="1">
        <v>-13.348100000000001</v>
      </c>
      <c r="L47" s="1">
        <f t="shared" si="3"/>
        <v>4.4864207438368785E-14</v>
      </c>
      <c r="M47" s="1"/>
      <c r="N47" s="1"/>
      <c r="O47" s="6">
        <v>4.3</v>
      </c>
      <c r="P47" s="1"/>
      <c r="Q47" s="1"/>
      <c r="R47" s="1"/>
      <c r="S47" s="1"/>
      <c r="T47" s="1"/>
      <c r="U47" s="1"/>
      <c r="V47" s="1"/>
    </row>
    <row r="48" spans="1:22" ht="14.25" customHeight="1" x14ac:dyDescent="0.25">
      <c r="A48" s="6" t="s">
        <v>27</v>
      </c>
      <c r="B48" s="6" t="s">
        <v>15</v>
      </c>
      <c r="C48" s="6" t="s">
        <v>28</v>
      </c>
      <c r="D48" s="5">
        <f t="shared" si="4"/>
        <v>2</v>
      </c>
      <c r="E48" s="1">
        <f t="shared" si="6"/>
        <v>827</v>
      </c>
      <c r="F48" s="1">
        <f t="shared" si="5"/>
        <v>4.0999999999999996E-14</v>
      </c>
      <c r="G48" s="1"/>
      <c r="H48" s="1"/>
      <c r="I48" s="1">
        <v>1100</v>
      </c>
      <c r="J48" s="1">
        <v>2</v>
      </c>
      <c r="K48" s="1">
        <v>-13.3687</v>
      </c>
      <c r="L48" s="1">
        <f t="shared" si="3"/>
        <v>4.2785833816373672E-14</v>
      </c>
      <c r="M48" s="1"/>
      <c r="N48" s="1"/>
      <c r="O48" s="6">
        <v>4.0999999999999996</v>
      </c>
      <c r="P48" s="1"/>
      <c r="Q48" s="1"/>
      <c r="R48" s="1"/>
      <c r="S48" s="1"/>
      <c r="T48" s="1"/>
      <c r="U48" s="1"/>
      <c r="V48" s="1"/>
    </row>
    <row r="49" spans="1:22" ht="14.25" customHeight="1" x14ac:dyDescent="0.25">
      <c r="A49" s="6" t="s">
        <v>27</v>
      </c>
      <c r="B49" s="6" t="s">
        <v>15</v>
      </c>
      <c r="C49" s="6" t="s">
        <v>28</v>
      </c>
      <c r="D49" s="5">
        <f t="shared" si="4"/>
        <v>0</v>
      </c>
      <c r="E49" s="1">
        <f t="shared" si="6"/>
        <v>803</v>
      </c>
      <c r="F49" s="1">
        <f t="shared" si="5"/>
        <v>2.2999999999999997E-14</v>
      </c>
      <c r="G49" s="1"/>
      <c r="H49" s="1"/>
      <c r="I49" s="1">
        <v>1076</v>
      </c>
      <c r="J49" s="1">
        <v>0</v>
      </c>
      <c r="K49" s="1">
        <v>-13.6165</v>
      </c>
      <c r="L49" s="1">
        <f t="shared" si="3"/>
        <v>2.4182433379303989E-14</v>
      </c>
      <c r="M49" s="1"/>
      <c r="N49" s="1"/>
      <c r="O49" s="6">
        <v>2.2999999999999998</v>
      </c>
      <c r="P49" s="1"/>
      <c r="Q49" s="1"/>
      <c r="R49" s="1"/>
      <c r="S49" s="1"/>
      <c r="T49" s="1"/>
      <c r="U49" s="1"/>
      <c r="V49" s="1"/>
    </row>
    <row r="50" spans="1:22" ht="14.25" customHeight="1" x14ac:dyDescent="0.25">
      <c r="A50" s="6" t="s">
        <v>27</v>
      </c>
      <c r="B50" s="6" t="s">
        <v>15</v>
      </c>
      <c r="C50" s="6" t="s">
        <v>28</v>
      </c>
      <c r="D50" s="5">
        <f t="shared" si="4"/>
        <v>0.5</v>
      </c>
      <c r="E50" s="1">
        <f t="shared" si="6"/>
        <v>803</v>
      </c>
      <c r="F50" s="1">
        <f t="shared" si="5"/>
        <v>2.6E-14</v>
      </c>
      <c r="G50" s="1"/>
      <c r="H50" s="1"/>
      <c r="I50" s="1">
        <v>1076</v>
      </c>
      <c r="J50" s="1">
        <v>0.5</v>
      </c>
      <c r="K50" s="1">
        <v>-13.575200000000001</v>
      </c>
      <c r="L50" s="1">
        <f t="shared" si="3"/>
        <v>2.6595000327215041E-14</v>
      </c>
      <c r="M50" s="1"/>
      <c r="N50" s="1"/>
      <c r="O50" s="6">
        <v>2.6</v>
      </c>
      <c r="P50" s="1"/>
      <c r="Q50" s="1"/>
      <c r="R50" s="1"/>
      <c r="S50" s="1"/>
      <c r="T50" s="1"/>
      <c r="U50" s="1"/>
      <c r="V50" s="1"/>
    </row>
    <row r="51" spans="1:22" ht="14.25" customHeight="1" x14ac:dyDescent="0.25">
      <c r="A51" s="6" t="s">
        <v>27</v>
      </c>
      <c r="B51" s="6" t="s">
        <v>15</v>
      </c>
      <c r="C51" s="6" t="s">
        <v>28</v>
      </c>
      <c r="D51" s="5">
        <f t="shared" si="4"/>
        <v>1</v>
      </c>
      <c r="E51" s="1">
        <f t="shared" si="6"/>
        <v>803</v>
      </c>
      <c r="F51" s="1">
        <f t="shared" si="5"/>
        <v>2.7000000000000002E-14</v>
      </c>
      <c r="G51" s="1"/>
      <c r="H51" s="1"/>
      <c r="I51" s="1">
        <v>1076</v>
      </c>
      <c r="J51" s="1">
        <v>1</v>
      </c>
      <c r="K51" s="1">
        <v>-13.554600000000001</v>
      </c>
      <c r="L51" s="1">
        <f t="shared" si="3"/>
        <v>2.7886884631591558E-14</v>
      </c>
      <c r="M51" s="1"/>
      <c r="N51" s="1"/>
      <c r="O51" s="6">
        <v>2.7</v>
      </c>
      <c r="P51" s="1"/>
      <c r="Q51" s="1"/>
      <c r="R51" s="1"/>
      <c r="S51" s="1"/>
      <c r="T51" s="1"/>
      <c r="U51" s="1"/>
      <c r="V51" s="1"/>
    </row>
    <row r="52" spans="1:22" ht="14.25" customHeight="1" x14ac:dyDescent="0.25">
      <c r="A52" s="6" t="s">
        <v>27</v>
      </c>
      <c r="B52" s="6" t="s">
        <v>15</v>
      </c>
      <c r="C52" s="6" t="s">
        <v>28</v>
      </c>
      <c r="D52" s="5">
        <f t="shared" si="4"/>
        <v>1.5</v>
      </c>
      <c r="E52" s="1">
        <f t="shared" si="6"/>
        <v>803</v>
      </c>
      <c r="F52" s="1">
        <f t="shared" si="5"/>
        <v>2.7000000000000002E-14</v>
      </c>
      <c r="G52" s="1"/>
      <c r="H52" s="1"/>
      <c r="I52" s="1">
        <v>1076</v>
      </c>
      <c r="J52" s="1">
        <v>1.5</v>
      </c>
      <c r="K52" s="1">
        <v>-13.554600000000001</v>
      </c>
      <c r="L52" s="1">
        <f t="shared" si="3"/>
        <v>2.7886884631591558E-14</v>
      </c>
      <c r="M52" s="1"/>
      <c r="N52" s="1"/>
      <c r="O52" s="6">
        <v>2.7</v>
      </c>
      <c r="P52" s="1"/>
      <c r="Q52" s="1"/>
      <c r="R52" s="1"/>
      <c r="S52" s="1"/>
      <c r="T52" s="1"/>
      <c r="U52" s="1"/>
      <c r="V52" s="1"/>
    </row>
    <row r="53" spans="1:22" ht="14.25" customHeight="1" x14ac:dyDescent="0.25">
      <c r="A53" s="6" t="s">
        <v>27</v>
      </c>
      <c r="B53" s="6" t="s">
        <v>15</v>
      </c>
      <c r="C53" s="6" t="s">
        <v>28</v>
      </c>
      <c r="D53" s="5">
        <f t="shared" si="4"/>
        <v>2</v>
      </c>
      <c r="E53" s="1">
        <f t="shared" si="6"/>
        <v>803</v>
      </c>
      <c r="F53" s="1">
        <f t="shared" si="5"/>
        <v>2.7999999999999997E-14</v>
      </c>
      <c r="G53" s="1"/>
      <c r="H53" s="1"/>
      <c r="I53" s="1">
        <v>1076</v>
      </c>
      <c r="J53" s="1">
        <v>2</v>
      </c>
      <c r="K53" s="1">
        <v>-13.5442</v>
      </c>
      <c r="L53" s="1">
        <f t="shared" si="3"/>
        <v>2.8562748772641001E-14</v>
      </c>
      <c r="M53" s="1"/>
      <c r="N53" s="1"/>
      <c r="O53" s="6">
        <v>2.8</v>
      </c>
      <c r="P53" s="1"/>
      <c r="Q53" s="1"/>
      <c r="R53" s="1"/>
      <c r="S53" s="1"/>
      <c r="T53" s="1"/>
      <c r="U53" s="1"/>
      <c r="V53" s="1"/>
    </row>
    <row r="54" spans="1:22" ht="14.25" customHeight="1" x14ac:dyDescent="0.25">
      <c r="A54" s="6" t="s">
        <v>27</v>
      </c>
      <c r="B54" s="6" t="s">
        <v>15</v>
      </c>
      <c r="C54" s="6" t="s">
        <v>28</v>
      </c>
      <c r="D54" s="5">
        <f t="shared" si="4"/>
        <v>0</v>
      </c>
      <c r="E54" s="1">
        <f t="shared" si="6"/>
        <v>750</v>
      </c>
      <c r="F54" s="1">
        <f t="shared" si="5"/>
        <v>8.3999999999999992E-15</v>
      </c>
      <c r="G54" s="1"/>
      <c r="H54" s="1"/>
      <c r="I54" s="1">
        <v>1023</v>
      </c>
      <c r="J54" s="1">
        <v>0</v>
      </c>
      <c r="K54" s="1">
        <v>-14.060499999999999</v>
      </c>
      <c r="L54" s="1">
        <f t="shared" si="3"/>
        <v>8.6996143306526848E-15</v>
      </c>
      <c r="M54" s="1"/>
      <c r="N54" s="1"/>
      <c r="O54" s="6">
        <v>0.84</v>
      </c>
      <c r="P54" s="1"/>
      <c r="Q54" s="1"/>
      <c r="R54" s="1"/>
      <c r="S54" s="1"/>
      <c r="T54" s="1"/>
      <c r="U54" s="1"/>
      <c r="V54" s="1"/>
    </row>
    <row r="55" spans="1:22" ht="14.25" customHeight="1" x14ac:dyDescent="0.25">
      <c r="A55" s="6" t="s">
        <v>27</v>
      </c>
      <c r="B55" s="6" t="s">
        <v>15</v>
      </c>
      <c r="C55" s="6" t="s">
        <v>28</v>
      </c>
      <c r="D55" s="5">
        <f t="shared" si="4"/>
        <v>0.5</v>
      </c>
      <c r="E55" s="1">
        <f t="shared" si="6"/>
        <v>750</v>
      </c>
      <c r="F55" s="1">
        <f t="shared" si="5"/>
        <v>9.1999999999999996E-15</v>
      </c>
      <c r="G55" s="1"/>
      <c r="H55" s="1"/>
      <c r="I55" s="1">
        <v>1023</v>
      </c>
      <c r="J55" s="1">
        <v>0.5</v>
      </c>
      <c r="K55" s="1">
        <v>-14.029500000000001</v>
      </c>
      <c r="L55" s="1">
        <f t="shared" si="3"/>
        <v>9.3432936825731173E-15</v>
      </c>
      <c r="M55" s="1"/>
      <c r="N55" s="1"/>
      <c r="O55" s="6">
        <v>0.92</v>
      </c>
      <c r="P55" s="1"/>
      <c r="Q55" s="1"/>
      <c r="R55" s="1"/>
      <c r="S55" s="1"/>
      <c r="T55" s="1"/>
      <c r="U55" s="1"/>
      <c r="V55" s="1"/>
    </row>
    <row r="56" spans="1:22" ht="14.25" customHeight="1" x14ac:dyDescent="0.25">
      <c r="A56" s="6" t="s">
        <v>27</v>
      </c>
      <c r="B56" s="6" t="s">
        <v>15</v>
      </c>
      <c r="C56" s="6" t="s">
        <v>28</v>
      </c>
      <c r="D56" s="5">
        <f t="shared" si="4"/>
        <v>1</v>
      </c>
      <c r="E56" s="1">
        <f t="shared" si="6"/>
        <v>750</v>
      </c>
      <c r="F56" s="1">
        <f t="shared" si="5"/>
        <v>1.0500000000000001E-14</v>
      </c>
      <c r="G56" s="1"/>
      <c r="H56" s="1"/>
      <c r="I56" s="1">
        <v>1023</v>
      </c>
      <c r="J56" s="1">
        <v>1</v>
      </c>
      <c r="K56" s="1">
        <v>-13.967599999999999</v>
      </c>
      <c r="L56" s="1">
        <f t="shared" si="3"/>
        <v>1.0774571314563668E-14</v>
      </c>
      <c r="M56" s="1"/>
      <c r="N56" s="1"/>
      <c r="O56" s="6">
        <v>1.05</v>
      </c>
      <c r="P56" s="1"/>
      <c r="Q56" s="1"/>
      <c r="R56" s="1"/>
      <c r="S56" s="1"/>
      <c r="T56" s="1"/>
      <c r="U56" s="1"/>
      <c r="V56" s="1"/>
    </row>
    <row r="57" spans="1:22" ht="14.25" customHeight="1" x14ac:dyDescent="0.25">
      <c r="A57" s="6" t="s">
        <v>27</v>
      </c>
      <c r="B57" s="6" t="s">
        <v>15</v>
      </c>
      <c r="C57" s="6" t="s">
        <v>28</v>
      </c>
      <c r="D57" s="5">
        <f t="shared" si="4"/>
        <v>1.5</v>
      </c>
      <c r="E57" s="1">
        <f t="shared" si="6"/>
        <v>750</v>
      </c>
      <c r="F57" s="1">
        <f t="shared" si="5"/>
        <v>1.1100000000000001E-14</v>
      </c>
      <c r="G57" s="1"/>
      <c r="H57" s="1"/>
      <c r="I57" s="1">
        <v>1023</v>
      </c>
      <c r="J57" s="1">
        <v>1.5</v>
      </c>
      <c r="K57" s="1">
        <v>-13.946899999999999</v>
      </c>
      <c r="L57" s="1">
        <f t="shared" si="3"/>
        <v>1.1300560897485304E-14</v>
      </c>
      <c r="M57" s="1"/>
      <c r="N57" s="1"/>
      <c r="O57" s="6">
        <v>1.1100000000000001</v>
      </c>
      <c r="P57" s="1"/>
      <c r="Q57" s="1"/>
      <c r="R57" s="1"/>
      <c r="S57" s="1"/>
      <c r="T57" s="1"/>
      <c r="U57" s="1"/>
      <c r="V57" s="1"/>
    </row>
    <row r="58" spans="1:22" ht="14.25" customHeight="1" x14ac:dyDescent="0.25">
      <c r="A58" s="6" t="s">
        <v>27</v>
      </c>
      <c r="B58" s="6" t="s">
        <v>15</v>
      </c>
      <c r="C58" s="6" t="s">
        <v>28</v>
      </c>
      <c r="D58" s="5">
        <f t="shared" si="4"/>
        <v>2</v>
      </c>
      <c r="E58" s="1">
        <f t="shared" si="6"/>
        <v>750</v>
      </c>
      <c r="F58" s="1">
        <f t="shared" si="5"/>
        <v>1.1399999999999999E-14</v>
      </c>
      <c r="G58" s="1"/>
      <c r="H58" s="1"/>
      <c r="I58" s="1">
        <v>1023</v>
      </c>
      <c r="J58" s="1">
        <v>2</v>
      </c>
      <c r="K58" s="1">
        <v>-13.9366</v>
      </c>
      <c r="L58" s="1">
        <f t="shared" si="3"/>
        <v>1.1571775514357031E-14</v>
      </c>
      <c r="M58" s="1"/>
      <c r="N58" s="1"/>
      <c r="O58" s="6">
        <v>1.1399999999999999</v>
      </c>
      <c r="P58" s="1"/>
      <c r="Q58" s="1"/>
      <c r="R58" s="1"/>
      <c r="S58" s="1"/>
      <c r="T58" s="1"/>
      <c r="U58" s="1"/>
      <c r="V58" s="1"/>
    </row>
    <row r="59" spans="1:22" ht="14.25" customHeight="1" x14ac:dyDescent="0.25">
      <c r="A59" s="6" t="s">
        <v>27</v>
      </c>
      <c r="B59" s="6" t="s">
        <v>15</v>
      </c>
      <c r="C59" s="6" t="s">
        <v>28</v>
      </c>
      <c r="D59" s="5">
        <f t="shared" si="4"/>
        <v>0</v>
      </c>
      <c r="E59" s="1">
        <f t="shared" si="6"/>
        <v>729</v>
      </c>
      <c r="F59" s="1">
        <f t="shared" si="5"/>
        <v>4.6999999999999999E-15</v>
      </c>
      <c r="G59" s="1"/>
      <c r="H59" s="1"/>
      <c r="I59" s="1">
        <v>1002</v>
      </c>
      <c r="J59" s="1">
        <v>0</v>
      </c>
      <c r="K59" s="1">
        <v>-14.3186</v>
      </c>
      <c r="L59" s="1">
        <f t="shared" si="3"/>
        <v>4.8017550301397951E-15</v>
      </c>
      <c r="M59" s="1"/>
      <c r="N59" s="1"/>
      <c r="O59" s="6">
        <v>0.47</v>
      </c>
      <c r="P59" s="1"/>
      <c r="Q59" s="1"/>
      <c r="R59" s="1"/>
      <c r="S59" s="1"/>
      <c r="T59" s="1"/>
      <c r="U59" s="1"/>
      <c r="V59" s="1"/>
    </row>
    <row r="60" spans="1:22" ht="14.25" customHeight="1" x14ac:dyDescent="0.25">
      <c r="A60" s="6" t="s">
        <v>27</v>
      </c>
      <c r="B60" s="6" t="s">
        <v>15</v>
      </c>
      <c r="C60" s="6" t="s">
        <v>28</v>
      </c>
      <c r="D60" s="5">
        <f t="shared" si="4"/>
        <v>0.5</v>
      </c>
      <c r="E60" s="1">
        <f t="shared" si="6"/>
        <v>729</v>
      </c>
      <c r="F60" s="1">
        <f t="shared" si="5"/>
        <v>5.5000000000000002E-15</v>
      </c>
      <c r="G60" s="1"/>
      <c r="H60" s="1"/>
      <c r="I60" s="1">
        <v>1002</v>
      </c>
      <c r="J60" s="1">
        <v>0.5</v>
      </c>
      <c r="K60" s="1">
        <v>-14.256600000000001</v>
      </c>
      <c r="L60" s="1">
        <f t="shared" si="3"/>
        <v>5.5385999827735297E-15</v>
      </c>
      <c r="M60" s="1"/>
      <c r="N60" s="1"/>
      <c r="O60" s="6">
        <v>0.55000000000000004</v>
      </c>
      <c r="P60" s="1"/>
      <c r="Q60" s="1"/>
      <c r="R60" s="1"/>
      <c r="S60" s="1"/>
      <c r="T60" s="1"/>
      <c r="U60" s="1"/>
      <c r="V60" s="1"/>
    </row>
    <row r="61" spans="1:22" ht="14.25" customHeight="1" x14ac:dyDescent="0.25">
      <c r="A61" s="6" t="s">
        <v>27</v>
      </c>
      <c r="B61" s="6" t="s">
        <v>15</v>
      </c>
      <c r="C61" s="6" t="s">
        <v>28</v>
      </c>
      <c r="D61" s="5">
        <f t="shared" si="4"/>
        <v>1</v>
      </c>
      <c r="E61" s="1">
        <f t="shared" si="6"/>
        <v>729</v>
      </c>
      <c r="F61" s="1">
        <f t="shared" si="5"/>
        <v>5.7999999999999996E-15</v>
      </c>
      <c r="G61" s="1"/>
      <c r="H61" s="1"/>
      <c r="I61" s="1">
        <v>1002</v>
      </c>
      <c r="J61" s="1">
        <v>1</v>
      </c>
      <c r="K61" s="1">
        <v>-14.2257</v>
      </c>
      <c r="L61" s="1">
        <f t="shared" si="3"/>
        <v>5.9470282291726035E-15</v>
      </c>
      <c r="M61" s="1"/>
      <c r="N61" s="1"/>
      <c r="O61" s="6">
        <v>0.57999999999999996</v>
      </c>
      <c r="P61" s="1"/>
      <c r="Q61" s="1"/>
      <c r="R61" s="1"/>
      <c r="S61" s="1"/>
      <c r="T61" s="1"/>
      <c r="U61" s="1"/>
      <c r="V61" s="1"/>
    </row>
    <row r="62" spans="1:22" ht="14.25" customHeight="1" x14ac:dyDescent="0.25">
      <c r="A62" s="6" t="s">
        <v>27</v>
      </c>
      <c r="B62" s="6" t="s">
        <v>15</v>
      </c>
      <c r="C62" s="6" t="s">
        <v>28</v>
      </c>
      <c r="D62" s="5">
        <f t="shared" si="4"/>
        <v>1.5</v>
      </c>
      <c r="E62" s="1">
        <f t="shared" si="6"/>
        <v>729</v>
      </c>
      <c r="F62" s="1">
        <f t="shared" si="5"/>
        <v>6.8999999999999993E-15</v>
      </c>
      <c r="G62" s="1"/>
      <c r="H62" s="1"/>
      <c r="I62" s="1">
        <v>1002</v>
      </c>
      <c r="J62" s="1">
        <v>1.5</v>
      </c>
      <c r="K62" s="1">
        <v>-14.1534</v>
      </c>
      <c r="L62" s="1">
        <f t="shared" si="3"/>
        <v>7.0242506446450161E-15</v>
      </c>
      <c r="M62" s="1"/>
      <c r="N62" s="1"/>
      <c r="O62" s="6">
        <v>0.69</v>
      </c>
      <c r="P62" s="1"/>
      <c r="Q62" s="1"/>
      <c r="R62" s="1"/>
      <c r="S62" s="1"/>
      <c r="T62" s="1"/>
      <c r="U62" s="1"/>
      <c r="V62" s="1"/>
    </row>
    <row r="63" spans="1:22" ht="14.25" customHeight="1" x14ac:dyDescent="0.25">
      <c r="A63" s="6" t="s">
        <v>27</v>
      </c>
      <c r="B63" s="6" t="s">
        <v>15</v>
      </c>
      <c r="C63" s="6" t="s">
        <v>28</v>
      </c>
      <c r="D63" s="5">
        <f t="shared" si="4"/>
        <v>2</v>
      </c>
      <c r="E63" s="1">
        <f t="shared" si="6"/>
        <v>729</v>
      </c>
      <c r="F63" s="1">
        <f t="shared" si="5"/>
        <v>6.8000000000000008E-15</v>
      </c>
      <c r="G63" s="1"/>
      <c r="H63" s="1"/>
      <c r="I63" s="1">
        <v>1002</v>
      </c>
      <c r="J63" s="1">
        <v>2</v>
      </c>
      <c r="K63" s="1">
        <v>-14.1534</v>
      </c>
      <c r="L63" s="1">
        <f t="shared" si="3"/>
        <v>7.0242506446450161E-15</v>
      </c>
      <c r="M63" s="1"/>
      <c r="N63" s="1"/>
      <c r="O63" s="6">
        <v>0.68</v>
      </c>
      <c r="P63" s="1"/>
      <c r="Q63" s="1"/>
      <c r="R63" s="1"/>
      <c r="S63" s="1"/>
      <c r="T63" s="1"/>
      <c r="U63" s="1"/>
      <c r="V63" s="1"/>
    </row>
    <row r="64" spans="1:22" ht="14.25" customHeight="1" x14ac:dyDescent="0.25">
      <c r="A64" s="6" t="s">
        <v>27</v>
      </c>
      <c r="B64" s="6" t="s">
        <v>15</v>
      </c>
      <c r="C64" s="6" t="s">
        <v>28</v>
      </c>
      <c r="D64" s="5">
        <f t="shared" si="4"/>
        <v>0</v>
      </c>
      <c r="E64" s="1">
        <f t="shared" si="6"/>
        <v>701</v>
      </c>
      <c r="F64" s="1">
        <f t="shared" si="5"/>
        <v>2.9999999999999998E-15</v>
      </c>
      <c r="G64" s="1"/>
      <c r="H64" s="1"/>
      <c r="I64" s="1">
        <v>974</v>
      </c>
      <c r="J64" s="1">
        <v>0</v>
      </c>
      <c r="K64" s="1">
        <v>-14.514699999999999</v>
      </c>
      <c r="L64" s="1">
        <f t="shared" si="3"/>
        <v>3.0570321069876545E-15</v>
      </c>
      <c r="M64" s="1"/>
      <c r="N64" s="1"/>
      <c r="O64" s="6">
        <v>0.3</v>
      </c>
      <c r="P64" s="1"/>
      <c r="Q64" s="1"/>
      <c r="R64" s="1"/>
      <c r="S64" s="1"/>
      <c r="T64" s="1"/>
      <c r="U64" s="1"/>
      <c r="V64" s="1"/>
    </row>
    <row r="65" spans="1:22" ht="14.25" customHeight="1" x14ac:dyDescent="0.25">
      <c r="A65" s="6" t="s">
        <v>27</v>
      </c>
      <c r="B65" s="6" t="s">
        <v>15</v>
      </c>
      <c r="C65" s="6" t="s">
        <v>28</v>
      </c>
      <c r="D65" s="5">
        <f t="shared" si="4"/>
        <v>0.5</v>
      </c>
      <c r="E65" s="1">
        <f t="shared" si="6"/>
        <v>701</v>
      </c>
      <c r="F65" s="1">
        <f t="shared" si="5"/>
        <v>3.0999999999999999E-15</v>
      </c>
      <c r="G65" s="1"/>
      <c r="H65" s="1"/>
      <c r="I65" s="1">
        <v>974</v>
      </c>
      <c r="J65" s="1">
        <v>0.5</v>
      </c>
      <c r="K65" s="1">
        <v>-14.5044</v>
      </c>
      <c r="L65" s="1">
        <f t="shared" si="3"/>
        <v>3.1304011900962169E-15</v>
      </c>
      <c r="M65" s="1"/>
      <c r="N65" s="1"/>
      <c r="O65" s="6">
        <v>0.31</v>
      </c>
      <c r="P65" s="1"/>
      <c r="Q65" s="1"/>
      <c r="R65" s="1"/>
      <c r="S65" s="1"/>
      <c r="T65" s="1"/>
      <c r="U65" s="1"/>
      <c r="V65" s="1"/>
    </row>
    <row r="66" spans="1:22" ht="14.25" customHeight="1" x14ac:dyDescent="0.25">
      <c r="A66" s="6" t="s">
        <v>27</v>
      </c>
      <c r="B66" s="6" t="s">
        <v>15</v>
      </c>
      <c r="C66" s="6" t="s">
        <v>28</v>
      </c>
      <c r="D66" s="5">
        <f t="shared" si="4"/>
        <v>1</v>
      </c>
      <c r="E66" s="1">
        <f t="shared" si="6"/>
        <v>701</v>
      </c>
      <c r="F66" s="1">
        <f t="shared" si="5"/>
        <v>3.4000000000000004E-15</v>
      </c>
      <c r="G66" s="1"/>
      <c r="H66" s="1"/>
      <c r="I66" s="1">
        <v>974</v>
      </c>
      <c r="J66" s="1">
        <v>1</v>
      </c>
      <c r="K66" s="1">
        <v>-14.463100000000001</v>
      </c>
      <c r="L66" s="1">
        <f t="shared" si="3"/>
        <v>3.4427065038944147E-15</v>
      </c>
      <c r="M66" s="1"/>
      <c r="N66" s="1"/>
      <c r="O66" s="6">
        <v>0.34</v>
      </c>
      <c r="P66" s="1"/>
      <c r="Q66" s="1"/>
      <c r="R66" s="1"/>
      <c r="S66" s="1"/>
      <c r="T66" s="1"/>
      <c r="U66" s="1"/>
      <c r="V66" s="1"/>
    </row>
    <row r="67" spans="1:22" ht="14.25" customHeight="1" x14ac:dyDescent="0.25">
      <c r="A67" s="6" t="s">
        <v>27</v>
      </c>
      <c r="B67" s="6" t="s">
        <v>15</v>
      </c>
      <c r="C67" s="6" t="s">
        <v>28</v>
      </c>
      <c r="D67" s="5">
        <f t="shared" si="4"/>
        <v>1.5</v>
      </c>
      <c r="E67" s="1">
        <f t="shared" si="6"/>
        <v>701</v>
      </c>
      <c r="F67" s="1">
        <f t="shared" si="5"/>
        <v>3.6000000000000001E-15</v>
      </c>
      <c r="G67" s="1"/>
      <c r="H67" s="1"/>
      <c r="I67" s="1">
        <v>974</v>
      </c>
      <c r="J67" s="1">
        <v>1.5</v>
      </c>
      <c r="K67" s="1">
        <v>-14.4322</v>
      </c>
      <c r="L67" s="1">
        <f t="shared" ref="L67:L85" si="7">10^K67</f>
        <v>3.6965790681932655E-15</v>
      </c>
      <c r="M67" s="1"/>
      <c r="N67" s="1"/>
      <c r="O67" s="6">
        <v>0.36</v>
      </c>
      <c r="P67" s="1"/>
      <c r="Q67" s="1"/>
      <c r="R67" s="1"/>
      <c r="S67" s="1"/>
      <c r="T67" s="1"/>
      <c r="U67" s="1"/>
      <c r="V67" s="1"/>
    </row>
    <row r="68" spans="1:22" ht="14.25" customHeight="1" x14ac:dyDescent="0.25">
      <c r="A68" s="6" t="s">
        <v>27</v>
      </c>
      <c r="B68" s="6" t="s">
        <v>15</v>
      </c>
      <c r="C68" s="6" t="s">
        <v>28</v>
      </c>
      <c r="D68" s="5">
        <f t="shared" si="4"/>
        <v>2</v>
      </c>
      <c r="E68" s="1">
        <f t="shared" si="6"/>
        <v>701</v>
      </c>
      <c r="F68" s="1">
        <f t="shared" si="5"/>
        <v>3.4999999999999997E-15</v>
      </c>
      <c r="G68" s="1"/>
      <c r="H68" s="1"/>
      <c r="I68" s="1">
        <v>974</v>
      </c>
      <c r="J68" s="1">
        <v>2</v>
      </c>
      <c r="K68" s="1">
        <v>-14.4528</v>
      </c>
      <c r="L68" s="1">
        <f t="shared" si="7"/>
        <v>3.5253318119588403E-15</v>
      </c>
      <c r="M68" s="6" t="s">
        <v>20</v>
      </c>
      <c r="N68" s="1"/>
      <c r="O68" s="6">
        <v>0.35</v>
      </c>
      <c r="P68" s="1"/>
      <c r="Q68" s="1"/>
      <c r="R68" s="1"/>
      <c r="S68" s="1"/>
      <c r="T68" s="1"/>
      <c r="U68" s="1"/>
      <c r="V68" s="1"/>
    </row>
    <row r="69" spans="1:22" ht="14.25" customHeight="1" x14ac:dyDescent="0.25">
      <c r="A69" s="6" t="s">
        <v>29</v>
      </c>
      <c r="B69" s="6" t="s">
        <v>14</v>
      </c>
      <c r="C69" s="6" t="s">
        <v>7</v>
      </c>
      <c r="D69" s="7">
        <f t="shared" ref="D69:D85" si="8">100-M69</f>
        <v>98.25</v>
      </c>
      <c r="E69" s="6">
        <f t="shared" ref="E69:E85" si="9">J69-273</f>
        <v>900.49130090898643</v>
      </c>
      <c r="F69" s="1">
        <f t="shared" ref="F69:F86" si="10">L69</f>
        <v>1.2708666993928189E-13</v>
      </c>
      <c r="G69" s="1"/>
      <c r="H69" s="1"/>
      <c r="I69" s="1">
        <v>8.5215800000000002</v>
      </c>
      <c r="J69">
        <f>10000/I69</f>
        <v>1173.4913009089864</v>
      </c>
      <c r="K69" s="1">
        <v>-12.895899999999999</v>
      </c>
      <c r="L69" s="1">
        <f t="shared" si="7"/>
        <v>1.2708666993928189E-13</v>
      </c>
      <c r="M69" s="1">
        <v>1.75</v>
      </c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5">
      <c r="A70" s="6" t="s">
        <v>29</v>
      </c>
      <c r="B70" s="6" t="s">
        <v>14</v>
      </c>
      <c r="C70" s="6" t="s">
        <v>7</v>
      </c>
      <c r="D70" s="7">
        <f t="shared" si="8"/>
        <v>98.25</v>
      </c>
      <c r="E70" s="6">
        <f t="shared" si="9"/>
        <v>902.14474845439099</v>
      </c>
      <c r="F70" s="1">
        <f t="shared" si="10"/>
        <v>1.2105981335504796E-13</v>
      </c>
      <c r="G70" s="1"/>
      <c r="H70" s="1"/>
      <c r="I70" s="1">
        <v>8.5095899999999993</v>
      </c>
      <c r="J70">
        <f t="shared" ref="J70:J85" si="11">10000/I70</f>
        <v>1175.144748454391</v>
      </c>
      <c r="K70" s="1">
        <v>-12.917</v>
      </c>
      <c r="L70" s="1">
        <f t="shared" si="7"/>
        <v>1.2105981335504796E-13</v>
      </c>
      <c r="M70" s="1">
        <v>1.75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5">
      <c r="A71" s="6" t="s">
        <v>29</v>
      </c>
      <c r="B71" s="6" t="s">
        <v>14</v>
      </c>
      <c r="C71" s="6" t="s">
        <v>7</v>
      </c>
      <c r="D71" s="7">
        <f t="shared" si="8"/>
        <v>98.25</v>
      </c>
      <c r="E71" s="6">
        <f t="shared" si="9"/>
        <v>898.84249968067297</v>
      </c>
      <c r="F71" s="1">
        <f t="shared" si="10"/>
        <v>1.2105981335504796E-13</v>
      </c>
      <c r="G71" s="1"/>
      <c r="H71" s="1"/>
      <c r="I71" s="1">
        <v>8.5335699999999992</v>
      </c>
      <c r="J71">
        <f t="shared" si="11"/>
        <v>1171.842499680673</v>
      </c>
      <c r="K71" s="1">
        <v>-12.917</v>
      </c>
      <c r="L71" s="1">
        <f t="shared" si="7"/>
        <v>1.2105981335504796E-13</v>
      </c>
      <c r="M71" s="1">
        <v>1.75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5">
      <c r="A72" s="6" t="s">
        <v>29</v>
      </c>
      <c r="B72" s="6" t="s">
        <v>14</v>
      </c>
      <c r="C72" s="6" t="s">
        <v>7</v>
      </c>
      <c r="D72" s="7">
        <f t="shared" si="8"/>
        <v>98.25</v>
      </c>
      <c r="E72" s="6">
        <f t="shared" si="9"/>
        <v>835.74824540590157</v>
      </c>
      <c r="F72" s="1">
        <f t="shared" si="10"/>
        <v>5.0477751350094524E-14</v>
      </c>
      <c r="G72" s="1"/>
      <c r="H72" s="1"/>
      <c r="I72" s="1">
        <v>9.0191800000000004</v>
      </c>
      <c r="J72">
        <f t="shared" si="11"/>
        <v>1108.7482454059016</v>
      </c>
      <c r="K72" s="1">
        <v>-13.296900000000001</v>
      </c>
      <c r="L72" s="1">
        <f t="shared" si="7"/>
        <v>5.0477751350094524E-14</v>
      </c>
      <c r="M72" s="1">
        <v>1.75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5">
      <c r="A73" s="6" t="s">
        <v>29</v>
      </c>
      <c r="B73" s="6" t="s">
        <v>14</v>
      </c>
      <c r="C73" s="6" t="s">
        <v>7</v>
      </c>
      <c r="D73" s="7">
        <f t="shared" si="8"/>
        <v>98.25</v>
      </c>
      <c r="E73" s="6">
        <f t="shared" si="9"/>
        <v>771.19666817727125</v>
      </c>
      <c r="F73" s="1">
        <f t="shared" si="10"/>
        <v>1.9102930691636564E-14</v>
      </c>
      <c r="G73" s="1"/>
      <c r="H73" s="1"/>
      <c r="I73" s="1">
        <v>9.5767399999999991</v>
      </c>
      <c r="J73">
        <f t="shared" si="11"/>
        <v>1044.1966681772712</v>
      </c>
      <c r="K73" s="1">
        <v>-13.7189</v>
      </c>
      <c r="L73" s="1">
        <f t="shared" si="7"/>
        <v>1.9102930691636564E-14</v>
      </c>
      <c r="M73" s="1">
        <v>1.75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5">
      <c r="A74" s="6" t="s">
        <v>29</v>
      </c>
      <c r="B74" s="6" t="s">
        <v>14</v>
      </c>
      <c r="C74" s="6" t="s">
        <v>7</v>
      </c>
      <c r="D74" s="7">
        <f t="shared" si="8"/>
        <v>98.25</v>
      </c>
      <c r="E74" s="6">
        <f t="shared" si="9"/>
        <v>769.23989861090263</v>
      </c>
      <c r="F74" s="1">
        <f t="shared" si="10"/>
        <v>1.8416199035246641E-14</v>
      </c>
      <c r="G74" s="1"/>
      <c r="H74" s="1"/>
      <c r="I74" s="1">
        <v>9.5947200000000006</v>
      </c>
      <c r="J74">
        <f t="shared" si="11"/>
        <v>1042.2398986109026</v>
      </c>
      <c r="K74" s="1">
        <v>-13.7348</v>
      </c>
      <c r="L74" s="1">
        <f t="shared" si="7"/>
        <v>1.8416199035246641E-14</v>
      </c>
      <c r="M74" s="1">
        <v>1.75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5">
      <c r="A75" s="6" t="s">
        <v>29</v>
      </c>
      <c r="B75" s="6" t="s">
        <v>14</v>
      </c>
      <c r="C75" s="6" t="s">
        <v>7</v>
      </c>
      <c r="D75" s="7">
        <f t="shared" si="8"/>
        <v>95.84</v>
      </c>
      <c r="E75" s="6">
        <f t="shared" si="9"/>
        <v>940.62021697102227</v>
      </c>
      <c r="F75" s="1">
        <f t="shared" si="10"/>
        <v>2.539802813772806E-13</v>
      </c>
      <c r="G75" s="1"/>
      <c r="H75" s="1"/>
      <c r="I75" s="1">
        <v>8.2398100000000003</v>
      </c>
      <c r="J75">
        <f t="shared" si="11"/>
        <v>1213.6202169710223</v>
      </c>
      <c r="K75" s="1">
        <v>-12.5952</v>
      </c>
      <c r="L75" s="1">
        <f t="shared" si="7"/>
        <v>2.539802813772806E-13</v>
      </c>
      <c r="M75" s="6">
        <v>4.16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5">
      <c r="A76" s="6" t="s">
        <v>29</v>
      </c>
      <c r="B76" s="6" t="s">
        <v>14</v>
      </c>
      <c r="C76" s="6" t="s">
        <v>7</v>
      </c>
      <c r="D76" s="7">
        <f t="shared" si="8"/>
        <v>95.84</v>
      </c>
      <c r="E76" s="6">
        <f t="shared" si="9"/>
        <v>915.54197989700106</v>
      </c>
      <c r="F76" s="1">
        <f t="shared" si="10"/>
        <v>1.8297847342954058E-13</v>
      </c>
      <c r="G76" s="1"/>
      <c r="H76" s="1"/>
      <c r="I76" s="1">
        <v>8.4136699999999998</v>
      </c>
      <c r="J76">
        <f t="shared" si="11"/>
        <v>1188.5419798970011</v>
      </c>
      <c r="K76" s="1">
        <v>-12.7376</v>
      </c>
      <c r="L76" s="1">
        <f t="shared" si="7"/>
        <v>1.8297847342954058E-13</v>
      </c>
      <c r="M76" s="6">
        <v>4.16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5">
      <c r="A77" s="6" t="s">
        <v>29</v>
      </c>
      <c r="B77" s="6" t="s">
        <v>14</v>
      </c>
      <c r="C77" s="6" t="s">
        <v>7</v>
      </c>
      <c r="D77" s="7">
        <f t="shared" si="8"/>
        <v>95.84</v>
      </c>
      <c r="E77" s="6">
        <f t="shared" si="9"/>
        <v>837.96298271341584</v>
      </c>
      <c r="F77" s="1">
        <f t="shared" si="10"/>
        <v>6.4357623683764017E-14</v>
      </c>
      <c r="G77" s="1"/>
      <c r="H77" s="1"/>
      <c r="I77" s="1">
        <v>9.0012000000000008</v>
      </c>
      <c r="J77">
        <f t="shared" si="11"/>
        <v>1110.9629827134158</v>
      </c>
      <c r="K77" s="1">
        <v>-13.1914</v>
      </c>
      <c r="L77" s="1">
        <f t="shared" si="7"/>
        <v>6.4357623683764017E-14</v>
      </c>
      <c r="M77" s="6">
        <v>4.16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5">
      <c r="A78" s="6" t="s">
        <v>29</v>
      </c>
      <c r="B78" s="6" t="s">
        <v>14</v>
      </c>
      <c r="C78" s="6" t="s">
        <v>7</v>
      </c>
      <c r="D78" s="7">
        <f t="shared" si="8"/>
        <v>95.84</v>
      </c>
      <c r="E78" s="6">
        <f t="shared" si="9"/>
        <v>767.93909361269357</v>
      </c>
      <c r="F78" s="1">
        <f t="shared" si="10"/>
        <v>2.1305905675427174E-14</v>
      </c>
      <c r="G78" s="1"/>
      <c r="H78" s="1"/>
      <c r="I78" s="1">
        <v>9.6067099999999996</v>
      </c>
      <c r="J78">
        <f t="shared" si="11"/>
        <v>1040.9390936126936</v>
      </c>
      <c r="K78" s="1">
        <v>-13.6715</v>
      </c>
      <c r="L78" s="1">
        <f t="shared" si="7"/>
        <v>2.1305905675427174E-14</v>
      </c>
      <c r="M78" s="6">
        <v>4.16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25">
      <c r="A79" s="6" t="s">
        <v>29</v>
      </c>
      <c r="B79" s="6" t="s">
        <v>14</v>
      </c>
      <c r="C79" s="6" t="s">
        <v>7</v>
      </c>
      <c r="D79" s="7">
        <f t="shared" si="8"/>
        <v>93.44</v>
      </c>
      <c r="E79" s="6">
        <f t="shared" si="9"/>
        <v>902.14474845439099</v>
      </c>
      <c r="F79" s="1">
        <f t="shared" si="10"/>
        <v>1.7426091898259212E-13</v>
      </c>
      <c r="G79" s="1"/>
      <c r="H79" s="1"/>
      <c r="I79" s="1">
        <v>8.5095899999999993</v>
      </c>
      <c r="J79">
        <f t="shared" si="11"/>
        <v>1175.144748454391</v>
      </c>
      <c r="K79" s="1">
        <v>-12.758800000000001</v>
      </c>
      <c r="L79" s="1">
        <f t="shared" si="7"/>
        <v>1.7426091898259212E-13</v>
      </c>
      <c r="M79" s="6">
        <v>6.56</v>
      </c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25">
      <c r="A80" s="6" t="s">
        <v>29</v>
      </c>
      <c r="B80" s="6" t="s">
        <v>14</v>
      </c>
      <c r="C80" s="6" t="s">
        <v>7</v>
      </c>
      <c r="D80" s="7">
        <f t="shared" si="8"/>
        <v>93.44</v>
      </c>
      <c r="E80" s="6">
        <f t="shared" si="9"/>
        <v>898.01914967615471</v>
      </c>
      <c r="F80" s="1">
        <f t="shared" si="10"/>
        <v>1.8297847342954058E-13</v>
      </c>
      <c r="G80" s="1"/>
      <c r="H80" s="1"/>
      <c r="I80" s="1">
        <v>8.5395699999999994</v>
      </c>
      <c r="J80">
        <f t="shared" si="11"/>
        <v>1171.0191496761547</v>
      </c>
      <c r="K80" s="1">
        <v>-12.7376</v>
      </c>
      <c r="L80" s="1">
        <f t="shared" si="7"/>
        <v>1.8297847342954058E-13</v>
      </c>
      <c r="M80" s="6">
        <v>6.56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25">
      <c r="A81" s="6" t="s">
        <v>29</v>
      </c>
      <c r="B81" s="6" t="s">
        <v>14</v>
      </c>
      <c r="C81" s="6" t="s">
        <v>7</v>
      </c>
      <c r="D81" s="7">
        <f t="shared" si="8"/>
        <v>93.44</v>
      </c>
      <c r="E81" s="6">
        <f t="shared" si="9"/>
        <v>835.01114216004544</v>
      </c>
      <c r="F81" s="1">
        <f t="shared" si="10"/>
        <v>7.6295689116153117E-14</v>
      </c>
      <c r="G81" s="1"/>
      <c r="H81" s="1"/>
      <c r="I81" s="1">
        <v>9.0251800000000006</v>
      </c>
      <c r="J81">
        <f t="shared" si="11"/>
        <v>1108.0111421600454</v>
      </c>
      <c r="K81" s="1">
        <v>-13.1175</v>
      </c>
      <c r="L81" s="1">
        <f t="shared" si="7"/>
        <v>7.6295689116153117E-14</v>
      </c>
      <c r="M81" s="6">
        <v>6.56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25">
      <c r="A82" s="6" t="s">
        <v>29</v>
      </c>
      <c r="B82" s="6" t="s">
        <v>14</v>
      </c>
      <c r="C82" s="6" t="s">
        <v>7</v>
      </c>
      <c r="D82" s="7">
        <f t="shared" si="8"/>
        <v>93.44</v>
      </c>
      <c r="E82" s="6">
        <f t="shared" si="9"/>
        <v>769.8909772201323</v>
      </c>
      <c r="F82" s="1">
        <f t="shared" si="10"/>
        <v>2.7497929868950551E-14</v>
      </c>
      <c r="G82" s="1"/>
      <c r="H82" s="1"/>
      <c r="I82" s="1">
        <v>9.58873</v>
      </c>
      <c r="J82">
        <f t="shared" si="11"/>
        <v>1042.8909772201323</v>
      </c>
      <c r="K82" s="1">
        <v>-13.560700000000001</v>
      </c>
      <c r="L82" s="1">
        <f t="shared" si="7"/>
        <v>2.7497929868950551E-14</v>
      </c>
      <c r="M82" s="6">
        <v>6.56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25">
      <c r="A83" s="6" t="s">
        <v>29</v>
      </c>
      <c r="B83" s="6" t="s">
        <v>14</v>
      </c>
      <c r="C83" s="6" t="s">
        <v>7</v>
      </c>
      <c r="D83" s="7">
        <f t="shared" si="8"/>
        <v>93.44</v>
      </c>
      <c r="E83" s="6">
        <f t="shared" si="9"/>
        <v>766.64045074651381</v>
      </c>
      <c r="F83" s="1">
        <f t="shared" si="10"/>
        <v>2.6193890037214819E-14</v>
      </c>
      <c r="G83" s="1"/>
      <c r="H83" s="1"/>
      <c r="I83" s="1">
        <v>9.6187100000000001</v>
      </c>
      <c r="J83">
        <f t="shared" si="11"/>
        <v>1039.6404507465138</v>
      </c>
      <c r="K83" s="1">
        <v>-13.581799999999999</v>
      </c>
      <c r="L83" s="1">
        <f t="shared" si="7"/>
        <v>2.6193890037214819E-14</v>
      </c>
      <c r="M83" s="6">
        <v>6.56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25">
      <c r="A84" s="6" t="s">
        <v>29</v>
      </c>
      <c r="B84" s="6" t="s">
        <v>14</v>
      </c>
      <c r="C84" s="6" t="s">
        <v>7</v>
      </c>
      <c r="D84" s="7">
        <f t="shared" si="8"/>
        <v>93.44</v>
      </c>
      <c r="E84" s="6">
        <f t="shared" si="9"/>
        <v>702.21015778900346</v>
      </c>
      <c r="F84" s="1">
        <f t="shared" si="10"/>
        <v>8.2603794957717359E-15</v>
      </c>
      <c r="G84" s="1"/>
      <c r="H84" s="1"/>
      <c r="I84" s="1">
        <v>10.254200000000001</v>
      </c>
      <c r="J84">
        <f t="shared" si="11"/>
        <v>975.21015778900346</v>
      </c>
      <c r="K84" s="1">
        <v>-14.083</v>
      </c>
      <c r="L84" s="1">
        <f t="shared" si="7"/>
        <v>8.2603794957717359E-15</v>
      </c>
      <c r="M84" s="6">
        <v>6.56</v>
      </c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25">
      <c r="A85" s="6" t="s">
        <v>29</v>
      </c>
      <c r="B85" s="6" t="s">
        <v>14</v>
      </c>
      <c r="C85" s="6" t="s">
        <v>7</v>
      </c>
      <c r="D85" s="7">
        <f t="shared" si="8"/>
        <v>93.44</v>
      </c>
      <c r="E85" s="6">
        <f t="shared" si="9"/>
        <v>702.21015778900346</v>
      </c>
      <c r="F85" s="1">
        <f t="shared" si="10"/>
        <v>9.1033239967990831E-15</v>
      </c>
      <c r="G85" s="1"/>
      <c r="H85" s="1"/>
      <c r="I85" s="1">
        <v>10.254200000000001</v>
      </c>
      <c r="J85">
        <f t="shared" si="11"/>
        <v>975.21015778900346</v>
      </c>
      <c r="K85" s="1">
        <v>-14.040800000000001</v>
      </c>
      <c r="L85" s="1">
        <f t="shared" si="7"/>
        <v>9.1033239967990831E-15</v>
      </c>
      <c r="M85" s="6">
        <v>6.56</v>
      </c>
      <c r="N85" s="1"/>
      <c r="O85" s="1"/>
      <c r="P85" s="1"/>
      <c r="Q85" s="1"/>
      <c r="R85" s="1"/>
      <c r="S85" s="1"/>
      <c r="T85" s="1"/>
      <c r="U85" s="1"/>
      <c r="V85" s="1"/>
    </row>
    <row r="86" spans="1:22" s="9" customFormat="1" ht="14.25" customHeight="1" x14ac:dyDescent="0.25">
      <c r="A86" s="4" t="s">
        <v>31</v>
      </c>
      <c r="B86" s="4" t="s">
        <v>15</v>
      </c>
      <c r="C86" s="4" t="s">
        <v>28</v>
      </c>
      <c r="D86" s="8">
        <f t="shared" ref="D86:D130" si="12">100-J86</f>
        <v>99.893939000000003</v>
      </c>
      <c r="E86" s="4">
        <f>I86-273</f>
        <v>1000</v>
      </c>
      <c r="F86" s="4">
        <f t="shared" si="10"/>
        <v>1.5488166189124747E-12</v>
      </c>
      <c r="G86" s="4"/>
      <c r="H86" s="4"/>
      <c r="I86" s="4">
        <v>1273</v>
      </c>
      <c r="J86" s="4">
        <v>0.106061</v>
      </c>
      <c r="K86" s="4">
        <v>-11.81</v>
      </c>
      <c r="L86" s="4">
        <f>10^K86</f>
        <v>1.5488166189124747E-12</v>
      </c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s="9" customFormat="1" ht="14.25" customHeight="1" x14ac:dyDescent="0.25">
      <c r="A87" s="4" t="s">
        <v>31</v>
      </c>
      <c r="B87" s="4" t="s">
        <v>15</v>
      </c>
      <c r="C87" s="4" t="s">
        <v>28</v>
      </c>
      <c r="D87" s="8">
        <f t="shared" si="12"/>
        <v>99</v>
      </c>
      <c r="E87" s="4">
        <f t="shared" ref="E87:E130" si="13">I87-273</f>
        <v>1000</v>
      </c>
      <c r="F87" s="4">
        <f t="shared" ref="F87:F130" si="14">L87</f>
        <v>1.4791083881682012E-12</v>
      </c>
      <c r="G87" s="4"/>
      <c r="H87" s="4"/>
      <c r="I87" s="4">
        <v>1273</v>
      </c>
      <c r="J87" s="4">
        <v>1</v>
      </c>
      <c r="K87" s="4">
        <v>-11.83</v>
      </c>
      <c r="L87" s="4">
        <f t="shared" ref="L87:L130" si="15">10^K87</f>
        <v>1.4791083881682012E-12</v>
      </c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s="9" customFormat="1" ht="14.25" customHeight="1" x14ac:dyDescent="0.25">
      <c r="A88" s="4" t="s">
        <v>31</v>
      </c>
      <c r="B88" s="4" t="s">
        <v>15</v>
      </c>
      <c r="C88" s="4" t="s">
        <v>28</v>
      </c>
      <c r="D88" s="8">
        <f t="shared" si="12"/>
        <v>98</v>
      </c>
      <c r="E88" s="4">
        <f t="shared" si="13"/>
        <v>1000</v>
      </c>
      <c r="F88" s="4">
        <f t="shared" si="14"/>
        <v>1.5135612484362015E-12</v>
      </c>
      <c r="G88" s="4"/>
      <c r="H88" s="4"/>
      <c r="I88" s="4">
        <v>1273</v>
      </c>
      <c r="J88" s="4">
        <v>2</v>
      </c>
      <c r="K88" s="4">
        <v>-11.82</v>
      </c>
      <c r="L88" s="4">
        <f t="shared" si="15"/>
        <v>1.5135612484362015E-12</v>
      </c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s="9" customFormat="1" ht="14.25" customHeight="1" x14ac:dyDescent="0.25">
      <c r="A89" s="4" t="s">
        <v>31</v>
      </c>
      <c r="B89" s="4" t="s">
        <v>15</v>
      </c>
      <c r="C89" s="4" t="s">
        <v>28</v>
      </c>
      <c r="D89" s="8">
        <f t="shared" si="12"/>
        <v>96</v>
      </c>
      <c r="E89" s="4">
        <f t="shared" si="13"/>
        <v>1000</v>
      </c>
      <c r="F89" s="4">
        <f t="shared" si="14"/>
        <v>1.4791083881682012E-12</v>
      </c>
      <c r="G89" s="4"/>
      <c r="H89" s="4"/>
      <c r="I89" s="4">
        <v>1273</v>
      </c>
      <c r="J89" s="4">
        <v>4</v>
      </c>
      <c r="K89" s="4">
        <v>-11.83</v>
      </c>
      <c r="L89" s="4">
        <f t="shared" si="15"/>
        <v>1.4791083881682012E-12</v>
      </c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s="9" customFormat="1" ht="14.25" customHeight="1" x14ac:dyDescent="0.25">
      <c r="A90" s="4" t="s">
        <v>31</v>
      </c>
      <c r="B90" s="4" t="s">
        <v>15</v>
      </c>
      <c r="C90" s="4" t="s">
        <v>28</v>
      </c>
      <c r="D90" s="8">
        <f t="shared" si="12"/>
        <v>94</v>
      </c>
      <c r="E90" s="4">
        <f t="shared" si="13"/>
        <v>1000</v>
      </c>
      <c r="F90" s="4">
        <f t="shared" si="14"/>
        <v>1.5848931924611065E-12</v>
      </c>
      <c r="G90" s="4"/>
      <c r="H90" s="4"/>
      <c r="I90" s="4">
        <v>1273</v>
      </c>
      <c r="J90" s="4">
        <v>6</v>
      </c>
      <c r="K90" s="4">
        <v>-11.8</v>
      </c>
      <c r="L90" s="4">
        <f t="shared" si="15"/>
        <v>1.5848931924611065E-12</v>
      </c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s="9" customFormat="1" ht="14.25" customHeight="1" x14ac:dyDescent="0.25">
      <c r="A91" s="4" t="s">
        <v>31</v>
      </c>
      <c r="B91" s="4" t="s">
        <v>15</v>
      </c>
      <c r="C91" s="4" t="s">
        <v>28</v>
      </c>
      <c r="D91" s="8">
        <f t="shared" si="12"/>
        <v>99.893939000000003</v>
      </c>
      <c r="E91" s="4">
        <f t="shared" si="13"/>
        <v>949</v>
      </c>
      <c r="F91" s="4">
        <f t="shared" si="14"/>
        <v>7.2443596007498653E-13</v>
      </c>
      <c r="G91" s="4"/>
      <c r="H91" s="4"/>
      <c r="I91" s="4">
        <v>1222</v>
      </c>
      <c r="J91" s="4">
        <v>0.106061</v>
      </c>
      <c r="K91" s="4">
        <v>-12.14</v>
      </c>
      <c r="L91" s="4">
        <f t="shared" si="15"/>
        <v>7.2443596007498653E-13</v>
      </c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s="9" customFormat="1" ht="14.25" customHeight="1" x14ac:dyDescent="0.25">
      <c r="A92" s="4" t="s">
        <v>31</v>
      </c>
      <c r="B92" s="4" t="s">
        <v>15</v>
      </c>
      <c r="C92" s="4" t="s">
        <v>28</v>
      </c>
      <c r="D92" s="8">
        <f t="shared" si="12"/>
        <v>99</v>
      </c>
      <c r="E92" s="4">
        <f t="shared" si="13"/>
        <v>949</v>
      </c>
      <c r="F92" s="4">
        <f t="shared" si="14"/>
        <v>6.9183097091893335E-13</v>
      </c>
      <c r="G92" s="4"/>
      <c r="H92" s="4"/>
      <c r="I92" s="4">
        <v>1222</v>
      </c>
      <c r="J92" s="4">
        <v>1</v>
      </c>
      <c r="K92" s="4">
        <v>-12.16</v>
      </c>
      <c r="L92" s="4">
        <f t="shared" si="15"/>
        <v>6.9183097091893335E-13</v>
      </c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s="9" customFormat="1" ht="14.25" customHeight="1" x14ac:dyDescent="0.25">
      <c r="A93" s="4" t="s">
        <v>31</v>
      </c>
      <c r="B93" s="4" t="s">
        <v>15</v>
      </c>
      <c r="C93" s="4" t="s">
        <v>28</v>
      </c>
      <c r="D93" s="8">
        <f t="shared" si="12"/>
        <v>98</v>
      </c>
      <c r="E93" s="4">
        <f t="shared" si="13"/>
        <v>949</v>
      </c>
      <c r="F93" s="4">
        <f t="shared" si="14"/>
        <v>6.9183097091893335E-13</v>
      </c>
      <c r="G93" s="4"/>
      <c r="H93" s="4"/>
      <c r="I93" s="4">
        <v>1222</v>
      </c>
      <c r="J93" s="4">
        <v>2</v>
      </c>
      <c r="K93" s="4">
        <v>-12.16</v>
      </c>
      <c r="L93" s="4">
        <f t="shared" si="15"/>
        <v>6.9183097091893335E-13</v>
      </c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s="9" customFormat="1" ht="14.25" customHeight="1" x14ac:dyDescent="0.25">
      <c r="A94" s="4" t="s">
        <v>31</v>
      </c>
      <c r="B94" s="4" t="s">
        <v>15</v>
      </c>
      <c r="C94" s="4" t="s">
        <v>28</v>
      </c>
      <c r="D94" s="8">
        <f t="shared" si="12"/>
        <v>96</v>
      </c>
      <c r="E94" s="4">
        <f t="shared" si="13"/>
        <v>949</v>
      </c>
      <c r="F94" s="4">
        <f t="shared" si="14"/>
        <v>6.7608297539198111E-13</v>
      </c>
      <c r="G94" s="4"/>
      <c r="H94" s="4"/>
      <c r="I94" s="4">
        <v>1222</v>
      </c>
      <c r="J94" s="4">
        <v>4</v>
      </c>
      <c r="K94" s="4">
        <v>-12.17</v>
      </c>
      <c r="L94" s="4">
        <f t="shared" si="15"/>
        <v>6.7608297539198111E-13</v>
      </c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s="9" customFormat="1" ht="14.25" customHeight="1" x14ac:dyDescent="0.25">
      <c r="A95" s="4" t="s">
        <v>31</v>
      </c>
      <c r="B95" s="4" t="s">
        <v>15</v>
      </c>
      <c r="C95" s="4" t="s">
        <v>28</v>
      </c>
      <c r="D95" s="8">
        <f t="shared" si="12"/>
        <v>94</v>
      </c>
      <c r="E95" s="4">
        <f t="shared" si="13"/>
        <v>949</v>
      </c>
      <c r="F95" s="4">
        <f t="shared" si="14"/>
        <v>6.9183097091893335E-13</v>
      </c>
      <c r="G95" s="4"/>
      <c r="H95" s="4"/>
      <c r="I95" s="4">
        <v>1222</v>
      </c>
      <c r="J95" s="4">
        <v>6</v>
      </c>
      <c r="K95" s="4">
        <v>-12.16</v>
      </c>
      <c r="L95" s="4">
        <f t="shared" si="15"/>
        <v>6.9183097091893335E-13</v>
      </c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s="9" customFormat="1" ht="14.25" customHeight="1" x14ac:dyDescent="0.25">
      <c r="A96" s="4" t="s">
        <v>31</v>
      </c>
      <c r="B96" s="4" t="s">
        <v>15</v>
      </c>
      <c r="C96" s="4" t="s">
        <v>28</v>
      </c>
      <c r="D96" s="8">
        <f t="shared" si="12"/>
        <v>99.893939000000003</v>
      </c>
      <c r="E96" s="4">
        <f t="shared" si="13"/>
        <v>901</v>
      </c>
      <c r="F96" s="4">
        <f t="shared" si="14"/>
        <v>3.3884415613920079E-13</v>
      </c>
      <c r="G96" s="4"/>
      <c r="H96" s="4"/>
      <c r="I96" s="4">
        <v>1174</v>
      </c>
      <c r="J96" s="4">
        <v>0.106061</v>
      </c>
      <c r="K96" s="4">
        <v>-12.47</v>
      </c>
      <c r="L96" s="4">
        <f t="shared" si="15"/>
        <v>3.3884415613920079E-13</v>
      </c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s="9" customFormat="1" ht="14.25" customHeight="1" x14ac:dyDescent="0.25">
      <c r="A97" s="4" t="s">
        <v>31</v>
      </c>
      <c r="B97" s="4" t="s">
        <v>15</v>
      </c>
      <c r="C97" s="4" t="s">
        <v>28</v>
      </c>
      <c r="D97" s="8">
        <f t="shared" si="12"/>
        <v>99</v>
      </c>
      <c r="E97" s="4">
        <f t="shared" si="13"/>
        <v>901</v>
      </c>
      <c r="F97" s="4">
        <f t="shared" si="14"/>
        <v>3.1622776601683746E-13</v>
      </c>
      <c r="G97" s="4"/>
      <c r="H97" s="4"/>
      <c r="I97" s="4">
        <v>1174</v>
      </c>
      <c r="J97" s="4">
        <v>1</v>
      </c>
      <c r="K97" s="4">
        <v>-12.5</v>
      </c>
      <c r="L97" s="4">
        <f t="shared" si="15"/>
        <v>3.1622776601683746E-13</v>
      </c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s="9" customFormat="1" ht="14.25" customHeight="1" x14ac:dyDescent="0.25">
      <c r="A98" s="4" t="s">
        <v>31</v>
      </c>
      <c r="B98" s="4" t="s">
        <v>15</v>
      </c>
      <c r="C98" s="4" t="s">
        <v>28</v>
      </c>
      <c r="D98" s="8">
        <f t="shared" si="12"/>
        <v>98</v>
      </c>
      <c r="E98" s="4">
        <f t="shared" si="13"/>
        <v>901</v>
      </c>
      <c r="F98" s="4">
        <f t="shared" si="14"/>
        <v>3.0902954325135866E-13</v>
      </c>
      <c r="G98" s="4"/>
      <c r="H98" s="4"/>
      <c r="I98" s="4">
        <v>1174</v>
      </c>
      <c r="J98" s="4">
        <v>2</v>
      </c>
      <c r="K98" s="4">
        <v>-12.51</v>
      </c>
      <c r="L98" s="4">
        <f t="shared" si="15"/>
        <v>3.0902954325135866E-13</v>
      </c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s="9" customFormat="1" ht="14.25" customHeight="1" x14ac:dyDescent="0.25">
      <c r="A99" s="4" t="s">
        <v>31</v>
      </c>
      <c r="B99" s="4" t="s">
        <v>15</v>
      </c>
      <c r="C99" s="4" t="s">
        <v>28</v>
      </c>
      <c r="D99" s="8">
        <f t="shared" si="12"/>
        <v>96</v>
      </c>
      <c r="E99" s="4">
        <f t="shared" si="13"/>
        <v>901</v>
      </c>
      <c r="F99" s="4">
        <f t="shared" si="14"/>
        <v>3.0199517204020122E-13</v>
      </c>
      <c r="G99" s="4"/>
      <c r="H99" s="4"/>
      <c r="I99" s="4">
        <v>1174</v>
      </c>
      <c r="J99" s="4">
        <v>4</v>
      </c>
      <c r="K99" s="4">
        <v>-12.52</v>
      </c>
      <c r="L99" s="4">
        <f t="shared" si="15"/>
        <v>3.0199517204020122E-13</v>
      </c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s="9" customFormat="1" ht="14.25" customHeight="1" x14ac:dyDescent="0.25">
      <c r="A100" s="4" t="s">
        <v>31</v>
      </c>
      <c r="B100" s="4" t="s">
        <v>15</v>
      </c>
      <c r="C100" s="4" t="s">
        <v>28</v>
      </c>
      <c r="D100" s="8">
        <f t="shared" si="12"/>
        <v>94.030299999999997</v>
      </c>
      <c r="E100" s="4">
        <f t="shared" si="13"/>
        <v>901</v>
      </c>
      <c r="F100" s="4">
        <f t="shared" si="14"/>
        <v>3.0199517204020122E-13</v>
      </c>
      <c r="G100" s="4"/>
      <c r="H100" s="4"/>
      <c r="I100" s="4">
        <v>1174</v>
      </c>
      <c r="J100" s="4">
        <v>5.9696999999999996</v>
      </c>
      <c r="K100" s="4">
        <v>-12.52</v>
      </c>
      <c r="L100" s="4">
        <f t="shared" si="15"/>
        <v>3.0199517204020122E-13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s="9" customFormat="1" ht="14.25" customHeight="1" x14ac:dyDescent="0.25">
      <c r="A101" s="4" t="s">
        <v>31</v>
      </c>
      <c r="B101" s="4" t="s">
        <v>15</v>
      </c>
      <c r="C101" s="4" t="s">
        <v>28</v>
      </c>
      <c r="D101" s="8">
        <f t="shared" si="12"/>
        <v>99.893939000000003</v>
      </c>
      <c r="E101" s="4">
        <f t="shared" si="13"/>
        <v>859</v>
      </c>
      <c r="F101" s="4">
        <f t="shared" si="14"/>
        <v>1.6218100973589265E-13</v>
      </c>
      <c r="G101" s="4"/>
      <c r="H101" s="4"/>
      <c r="I101" s="4">
        <v>1132</v>
      </c>
      <c r="J101" s="4">
        <v>0.106061</v>
      </c>
      <c r="K101" s="4">
        <v>-12.79</v>
      </c>
      <c r="L101" s="4">
        <f t="shared" si="15"/>
        <v>1.6218100973589265E-13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s="9" customFormat="1" ht="14.25" customHeight="1" x14ac:dyDescent="0.25">
      <c r="A102" s="4" t="s">
        <v>31</v>
      </c>
      <c r="B102" s="4" t="s">
        <v>15</v>
      </c>
      <c r="C102" s="4" t="s">
        <v>28</v>
      </c>
      <c r="D102" s="8">
        <f t="shared" si="12"/>
        <v>99</v>
      </c>
      <c r="E102" s="4">
        <f t="shared" si="13"/>
        <v>859</v>
      </c>
      <c r="F102" s="4">
        <f t="shared" si="14"/>
        <v>1.4791083881682047E-13</v>
      </c>
      <c r="G102" s="4"/>
      <c r="H102" s="4"/>
      <c r="I102" s="4">
        <v>1132</v>
      </c>
      <c r="J102" s="4">
        <v>1</v>
      </c>
      <c r="K102" s="4">
        <v>-12.83</v>
      </c>
      <c r="L102" s="4">
        <f t="shared" si="15"/>
        <v>1.4791083881682047E-13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s="9" customFormat="1" ht="14.25" customHeight="1" x14ac:dyDescent="0.25">
      <c r="A103" s="4" t="s">
        <v>31</v>
      </c>
      <c r="B103" s="4" t="s">
        <v>15</v>
      </c>
      <c r="C103" s="4" t="s">
        <v>28</v>
      </c>
      <c r="D103" s="8">
        <f t="shared" si="12"/>
        <v>98</v>
      </c>
      <c r="E103" s="4">
        <f t="shared" si="13"/>
        <v>859</v>
      </c>
      <c r="F103" s="4">
        <f t="shared" si="14"/>
        <v>1.4454397707459251E-13</v>
      </c>
      <c r="G103" s="4"/>
      <c r="H103" s="4"/>
      <c r="I103" s="4">
        <v>1132</v>
      </c>
      <c r="J103" s="4">
        <v>2</v>
      </c>
      <c r="K103" s="4">
        <v>-12.84</v>
      </c>
      <c r="L103" s="4">
        <f t="shared" si="15"/>
        <v>1.4454397707459251E-13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s="9" customFormat="1" ht="14.25" customHeight="1" x14ac:dyDescent="0.25">
      <c r="A104" s="4" t="s">
        <v>31</v>
      </c>
      <c r="B104" s="4" t="s">
        <v>15</v>
      </c>
      <c r="C104" s="4" t="s">
        <v>28</v>
      </c>
      <c r="D104" s="8">
        <f t="shared" si="12"/>
        <v>96</v>
      </c>
      <c r="E104" s="4">
        <f t="shared" si="13"/>
        <v>859</v>
      </c>
      <c r="F104" s="4">
        <f t="shared" si="14"/>
        <v>1.3803842646028828E-13</v>
      </c>
      <c r="G104" s="4"/>
      <c r="H104" s="4"/>
      <c r="I104" s="4">
        <v>1132</v>
      </c>
      <c r="J104" s="4">
        <v>4</v>
      </c>
      <c r="K104" s="4">
        <v>-12.86</v>
      </c>
      <c r="L104" s="4">
        <f t="shared" si="15"/>
        <v>1.3803842646028828E-13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s="9" customFormat="1" ht="14.25" customHeight="1" x14ac:dyDescent="0.25">
      <c r="A105" s="4" t="s">
        <v>31</v>
      </c>
      <c r="B105" s="4" t="s">
        <v>15</v>
      </c>
      <c r="C105" s="4" t="s">
        <v>28</v>
      </c>
      <c r="D105" s="8">
        <f t="shared" si="12"/>
        <v>94.015150000000006</v>
      </c>
      <c r="E105" s="4">
        <f t="shared" si="13"/>
        <v>859</v>
      </c>
      <c r="F105" s="4">
        <f t="shared" si="14"/>
        <v>1.3489628825916516E-13</v>
      </c>
      <c r="G105" s="4"/>
      <c r="H105" s="4"/>
      <c r="I105" s="4">
        <v>1132</v>
      </c>
      <c r="J105" s="4">
        <v>5.9848499999999998</v>
      </c>
      <c r="K105" s="4">
        <v>-12.87</v>
      </c>
      <c r="L105" s="4">
        <f t="shared" si="15"/>
        <v>1.3489628825916516E-13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s="9" customFormat="1" ht="14.25" customHeight="1" x14ac:dyDescent="0.25">
      <c r="A106" s="4" t="s">
        <v>31</v>
      </c>
      <c r="B106" s="4" t="s">
        <v>15</v>
      </c>
      <c r="C106" s="4" t="s">
        <v>28</v>
      </c>
      <c r="D106" s="8">
        <f t="shared" si="12"/>
        <v>99.893939000000003</v>
      </c>
      <c r="E106" s="4">
        <f t="shared" si="13"/>
        <v>827</v>
      </c>
      <c r="F106" s="4">
        <f t="shared" si="14"/>
        <v>8.9125093813374273E-14</v>
      </c>
      <c r="G106" s="4"/>
      <c r="H106" s="4"/>
      <c r="I106" s="4">
        <v>1100</v>
      </c>
      <c r="J106" s="4">
        <v>0.106061</v>
      </c>
      <c r="K106" s="4">
        <v>-13.05</v>
      </c>
      <c r="L106" s="4">
        <f t="shared" si="15"/>
        <v>8.9125093813374273E-14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s="9" customFormat="1" ht="14.25" customHeight="1" x14ac:dyDescent="0.25">
      <c r="A107" s="4" t="s">
        <v>31</v>
      </c>
      <c r="B107" s="4" t="s">
        <v>15</v>
      </c>
      <c r="C107" s="4" t="s">
        <v>28</v>
      </c>
      <c r="D107" s="8">
        <f t="shared" si="12"/>
        <v>99</v>
      </c>
      <c r="E107" s="4">
        <f t="shared" si="13"/>
        <v>827</v>
      </c>
      <c r="F107" s="4">
        <f t="shared" si="14"/>
        <v>8.1283051616409697E-14</v>
      </c>
      <c r="G107" s="4"/>
      <c r="H107" s="4"/>
      <c r="I107" s="4">
        <v>1100</v>
      </c>
      <c r="J107" s="4">
        <v>1</v>
      </c>
      <c r="K107" s="4">
        <v>-13.09</v>
      </c>
      <c r="L107" s="4">
        <f t="shared" si="15"/>
        <v>8.1283051616409697E-14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s="9" customFormat="1" ht="14.25" customHeight="1" x14ac:dyDescent="0.25">
      <c r="A108" s="4" t="s">
        <v>31</v>
      </c>
      <c r="B108" s="4" t="s">
        <v>15</v>
      </c>
      <c r="C108" s="4" t="s">
        <v>28</v>
      </c>
      <c r="D108" s="8">
        <f t="shared" si="12"/>
        <v>98</v>
      </c>
      <c r="E108" s="4">
        <f t="shared" si="13"/>
        <v>827</v>
      </c>
      <c r="F108" s="4">
        <f t="shared" si="14"/>
        <v>7.9432823472427931E-14</v>
      </c>
      <c r="G108" s="4"/>
      <c r="H108" s="4"/>
      <c r="I108" s="4">
        <v>1100</v>
      </c>
      <c r="J108" s="4">
        <v>2</v>
      </c>
      <c r="K108" s="4">
        <v>-13.1</v>
      </c>
      <c r="L108" s="4">
        <f t="shared" si="15"/>
        <v>7.9432823472427931E-14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s="9" customFormat="1" ht="14.25" customHeight="1" x14ac:dyDescent="0.25">
      <c r="A109" s="4" t="s">
        <v>31</v>
      </c>
      <c r="B109" s="4" t="s">
        <v>15</v>
      </c>
      <c r="C109" s="4" t="s">
        <v>28</v>
      </c>
      <c r="D109" s="8">
        <f t="shared" si="12"/>
        <v>96</v>
      </c>
      <c r="E109" s="4">
        <f t="shared" si="13"/>
        <v>827</v>
      </c>
      <c r="F109" s="4">
        <f t="shared" si="14"/>
        <v>7.4131024130091305E-14</v>
      </c>
      <c r="G109" s="4"/>
      <c r="H109" s="4"/>
      <c r="I109" s="4">
        <v>1100</v>
      </c>
      <c r="J109" s="4">
        <v>4</v>
      </c>
      <c r="K109" s="4">
        <v>-13.13</v>
      </c>
      <c r="L109" s="4">
        <f t="shared" si="15"/>
        <v>7.4131024130091305E-14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s="9" customFormat="1" ht="14.25" customHeight="1" x14ac:dyDescent="0.25">
      <c r="A110" s="4" t="s">
        <v>31</v>
      </c>
      <c r="B110" s="4" t="s">
        <v>15</v>
      </c>
      <c r="C110" s="4" t="s">
        <v>28</v>
      </c>
      <c r="D110" s="8">
        <f t="shared" si="12"/>
        <v>94</v>
      </c>
      <c r="E110" s="4">
        <f t="shared" si="13"/>
        <v>827</v>
      </c>
      <c r="F110" s="4">
        <f t="shared" si="14"/>
        <v>6.9183097091893504E-14</v>
      </c>
      <c r="G110" s="4"/>
      <c r="H110" s="4"/>
      <c r="I110" s="4">
        <v>1100</v>
      </c>
      <c r="J110" s="4">
        <v>6</v>
      </c>
      <c r="K110" s="4">
        <v>-13.16</v>
      </c>
      <c r="L110" s="4">
        <f t="shared" si="15"/>
        <v>6.9183097091893504E-14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s="9" customFormat="1" ht="14.25" customHeight="1" x14ac:dyDescent="0.25">
      <c r="A111" s="4" t="s">
        <v>31</v>
      </c>
      <c r="B111" s="4" t="s">
        <v>15</v>
      </c>
      <c r="C111" s="4" t="s">
        <v>28</v>
      </c>
      <c r="D111" s="8">
        <f t="shared" si="12"/>
        <v>99.893939000000003</v>
      </c>
      <c r="E111" s="4">
        <f t="shared" si="13"/>
        <v>803</v>
      </c>
      <c r="F111" s="4">
        <f t="shared" si="14"/>
        <v>5.6234132519034836E-14</v>
      </c>
      <c r="G111" s="4"/>
      <c r="H111" s="4"/>
      <c r="I111" s="4">
        <v>1076</v>
      </c>
      <c r="J111" s="4">
        <v>0.106061</v>
      </c>
      <c r="K111" s="4">
        <v>-13.25</v>
      </c>
      <c r="L111" s="4">
        <f t="shared" si="15"/>
        <v>5.6234132519034836E-14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s="9" customFormat="1" ht="14.25" customHeight="1" x14ac:dyDescent="0.25">
      <c r="A112" s="4" t="s">
        <v>31</v>
      </c>
      <c r="B112" s="4" t="s">
        <v>15</v>
      </c>
      <c r="C112" s="4" t="s">
        <v>28</v>
      </c>
      <c r="D112" s="8">
        <f t="shared" si="12"/>
        <v>99</v>
      </c>
      <c r="E112" s="4">
        <f t="shared" si="13"/>
        <v>803</v>
      </c>
      <c r="F112" s="4">
        <f t="shared" si="14"/>
        <v>5.1286138399136433E-14</v>
      </c>
      <c r="G112" s="4"/>
      <c r="H112" s="4"/>
      <c r="I112" s="4">
        <v>1076</v>
      </c>
      <c r="J112" s="4">
        <v>1</v>
      </c>
      <c r="K112" s="4">
        <v>-13.29</v>
      </c>
      <c r="L112" s="4">
        <f t="shared" si="15"/>
        <v>5.1286138399136433E-14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s="9" customFormat="1" ht="14.25" customHeight="1" x14ac:dyDescent="0.25">
      <c r="A113" s="4" t="s">
        <v>31</v>
      </c>
      <c r="B113" s="4" t="s">
        <v>15</v>
      </c>
      <c r="C113" s="4" t="s">
        <v>28</v>
      </c>
      <c r="D113" s="8">
        <f t="shared" si="12"/>
        <v>98</v>
      </c>
      <c r="E113" s="4">
        <f t="shared" si="13"/>
        <v>803</v>
      </c>
      <c r="F113" s="4">
        <f t="shared" si="14"/>
        <v>4.8977881936844408E-14</v>
      </c>
      <c r="G113" s="4"/>
      <c r="H113" s="4"/>
      <c r="I113" s="4">
        <v>1076</v>
      </c>
      <c r="J113" s="4">
        <v>2</v>
      </c>
      <c r="K113" s="4">
        <v>-13.31</v>
      </c>
      <c r="L113" s="4">
        <f t="shared" si="15"/>
        <v>4.8977881936844408E-14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s="9" customFormat="1" ht="14.25" customHeight="1" x14ac:dyDescent="0.25">
      <c r="A114" s="4" t="s">
        <v>31</v>
      </c>
      <c r="B114" s="4" t="s">
        <v>15</v>
      </c>
      <c r="C114" s="4" t="s">
        <v>28</v>
      </c>
      <c r="D114" s="8">
        <f t="shared" si="12"/>
        <v>96</v>
      </c>
      <c r="E114" s="4">
        <f t="shared" si="13"/>
        <v>803</v>
      </c>
      <c r="F114" s="4">
        <f t="shared" si="14"/>
        <v>4.5708818961487318E-14</v>
      </c>
      <c r="G114" s="4"/>
      <c r="H114" s="4"/>
      <c r="I114" s="4">
        <v>1076</v>
      </c>
      <c r="J114" s="4">
        <v>4</v>
      </c>
      <c r="K114" s="4">
        <v>-13.34</v>
      </c>
      <c r="L114" s="4">
        <f t="shared" si="15"/>
        <v>4.5708818961487318E-14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s="9" customFormat="1" ht="14.25" customHeight="1" x14ac:dyDescent="0.25">
      <c r="A115" s="4" t="s">
        <v>31</v>
      </c>
      <c r="B115" s="4" t="s">
        <v>15</v>
      </c>
      <c r="C115" s="4" t="s">
        <v>28</v>
      </c>
      <c r="D115" s="8">
        <f t="shared" si="12"/>
        <v>94.015150000000006</v>
      </c>
      <c r="E115" s="4">
        <f t="shared" si="13"/>
        <v>803</v>
      </c>
      <c r="F115" s="4">
        <f t="shared" si="14"/>
        <v>4.2657951880159256E-14</v>
      </c>
      <c r="G115" s="4"/>
      <c r="H115" s="4"/>
      <c r="I115" s="4">
        <v>1076</v>
      </c>
      <c r="J115" s="4">
        <v>5.9848499999999998</v>
      </c>
      <c r="K115" s="4">
        <v>-13.37</v>
      </c>
      <c r="L115" s="4">
        <f t="shared" si="15"/>
        <v>4.2657951880159256E-14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s="9" customFormat="1" ht="14.25" customHeight="1" x14ac:dyDescent="0.25">
      <c r="A116" s="4" t="s">
        <v>31</v>
      </c>
      <c r="B116" s="4" t="s">
        <v>15</v>
      </c>
      <c r="C116" s="4" t="s">
        <v>28</v>
      </c>
      <c r="D116" s="8">
        <f t="shared" si="12"/>
        <v>99.893939000000003</v>
      </c>
      <c r="E116" s="4">
        <f t="shared" si="13"/>
        <v>750</v>
      </c>
      <c r="F116" s="4">
        <f t="shared" si="14"/>
        <v>1.8620871366628604E-14</v>
      </c>
      <c r="G116" s="4"/>
      <c r="H116" s="4"/>
      <c r="I116" s="4">
        <v>1023</v>
      </c>
      <c r="J116" s="4">
        <v>0.106061</v>
      </c>
      <c r="K116" s="4">
        <v>-13.73</v>
      </c>
      <c r="L116" s="4">
        <f t="shared" si="15"/>
        <v>1.8620871366628604E-14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s="9" customFormat="1" ht="14.25" customHeight="1" x14ac:dyDescent="0.25">
      <c r="A117" s="4" t="s">
        <v>31</v>
      </c>
      <c r="B117" s="4" t="s">
        <v>15</v>
      </c>
      <c r="C117" s="4" t="s">
        <v>28</v>
      </c>
      <c r="D117" s="8">
        <f t="shared" si="12"/>
        <v>99</v>
      </c>
      <c r="E117" s="4">
        <f t="shared" si="13"/>
        <v>750</v>
      </c>
      <c r="F117" s="4">
        <f t="shared" si="14"/>
        <v>1.6218100973589306E-14</v>
      </c>
      <c r="G117" s="4"/>
      <c r="H117" s="4"/>
      <c r="I117" s="4">
        <v>1023</v>
      </c>
      <c r="J117" s="4">
        <v>1</v>
      </c>
      <c r="K117" s="4">
        <v>-13.79</v>
      </c>
      <c r="L117" s="4">
        <f t="shared" si="15"/>
        <v>1.6218100973589306E-14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s="9" customFormat="1" ht="14.25" customHeight="1" x14ac:dyDescent="0.25">
      <c r="A118" s="4" t="s">
        <v>31</v>
      </c>
      <c r="B118" s="4" t="s">
        <v>15</v>
      </c>
      <c r="C118" s="4" t="s">
        <v>28</v>
      </c>
      <c r="D118" s="8">
        <f t="shared" si="12"/>
        <v>98</v>
      </c>
      <c r="E118" s="4">
        <f t="shared" si="13"/>
        <v>750</v>
      </c>
      <c r="F118" s="4">
        <f t="shared" si="14"/>
        <v>1.5135612484362038E-14</v>
      </c>
      <c r="G118" s="4"/>
      <c r="H118" s="4"/>
      <c r="I118" s="4">
        <v>1023</v>
      </c>
      <c r="J118" s="4">
        <v>2</v>
      </c>
      <c r="K118" s="4">
        <v>-13.82</v>
      </c>
      <c r="L118" s="4">
        <f t="shared" si="15"/>
        <v>1.5135612484362038E-14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s="9" customFormat="1" ht="14.25" customHeight="1" x14ac:dyDescent="0.25">
      <c r="A119" s="4" t="s">
        <v>31</v>
      </c>
      <c r="B119" s="4" t="s">
        <v>15</v>
      </c>
      <c r="C119" s="4" t="s">
        <v>28</v>
      </c>
      <c r="D119" s="8">
        <f t="shared" si="12"/>
        <v>96</v>
      </c>
      <c r="E119" s="4">
        <f t="shared" si="13"/>
        <v>750</v>
      </c>
      <c r="F119" s="4">
        <f t="shared" si="14"/>
        <v>1.4125375446227505E-14</v>
      </c>
      <c r="G119" s="4"/>
      <c r="H119" s="4"/>
      <c r="I119" s="4">
        <v>1023</v>
      </c>
      <c r="J119" s="4">
        <v>4</v>
      </c>
      <c r="K119" s="4">
        <v>-13.85</v>
      </c>
      <c r="L119" s="4">
        <f t="shared" si="15"/>
        <v>1.4125375446227505E-14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s="9" customFormat="1" ht="14.25" customHeight="1" x14ac:dyDescent="0.25">
      <c r="A120" s="4" t="s">
        <v>31</v>
      </c>
      <c r="B120" s="4" t="s">
        <v>15</v>
      </c>
      <c r="C120" s="4" t="s">
        <v>28</v>
      </c>
      <c r="D120" s="8">
        <f t="shared" si="12"/>
        <v>94.015150000000006</v>
      </c>
      <c r="E120" s="4">
        <f t="shared" si="13"/>
        <v>750</v>
      </c>
      <c r="F120" s="4">
        <f t="shared" si="14"/>
        <v>1.2589254117941644E-14</v>
      </c>
      <c r="G120" s="4"/>
      <c r="H120" s="4"/>
      <c r="I120" s="4">
        <v>1023</v>
      </c>
      <c r="J120" s="4">
        <v>5.9848499999999998</v>
      </c>
      <c r="K120" s="4">
        <v>-13.9</v>
      </c>
      <c r="L120" s="4">
        <f t="shared" si="15"/>
        <v>1.2589254117941644E-14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s="9" customFormat="1" ht="14.25" customHeight="1" x14ac:dyDescent="0.25">
      <c r="A121" s="4" t="s">
        <v>31</v>
      </c>
      <c r="B121" s="4" t="s">
        <v>15</v>
      </c>
      <c r="C121" s="4" t="s">
        <v>28</v>
      </c>
      <c r="D121" s="8">
        <f t="shared" si="12"/>
        <v>99.893939000000003</v>
      </c>
      <c r="E121" s="4">
        <f t="shared" si="13"/>
        <v>729</v>
      </c>
      <c r="F121" s="4">
        <f t="shared" si="14"/>
        <v>1.1481536214968808E-14</v>
      </c>
      <c r="G121" s="4"/>
      <c r="H121" s="4"/>
      <c r="I121" s="4">
        <v>1002</v>
      </c>
      <c r="J121" s="4">
        <v>0.106061</v>
      </c>
      <c r="K121" s="4">
        <v>-13.94</v>
      </c>
      <c r="L121" s="4">
        <f t="shared" si="15"/>
        <v>1.1481536214968808E-14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s="9" customFormat="1" ht="14.25" customHeight="1" x14ac:dyDescent="0.25">
      <c r="A122" s="4" t="s">
        <v>31</v>
      </c>
      <c r="B122" s="4" t="s">
        <v>15</v>
      </c>
      <c r="C122" s="4" t="s">
        <v>28</v>
      </c>
      <c r="D122" s="8">
        <f t="shared" si="12"/>
        <v>99</v>
      </c>
      <c r="E122" s="4">
        <f t="shared" si="13"/>
        <v>729</v>
      </c>
      <c r="F122" s="4">
        <f t="shared" si="14"/>
        <v>1E-14</v>
      </c>
      <c r="G122" s="4"/>
      <c r="H122" s="4"/>
      <c r="I122" s="4">
        <v>1002</v>
      </c>
      <c r="J122" s="4">
        <v>1</v>
      </c>
      <c r="K122" s="4">
        <v>-14</v>
      </c>
      <c r="L122" s="4">
        <f t="shared" si="15"/>
        <v>1E-14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s="9" customFormat="1" ht="14.25" customHeight="1" x14ac:dyDescent="0.25">
      <c r="A123" s="4" t="s">
        <v>31</v>
      </c>
      <c r="B123" s="4" t="s">
        <v>15</v>
      </c>
      <c r="C123" s="4" t="s">
        <v>28</v>
      </c>
      <c r="D123" s="8">
        <f t="shared" si="12"/>
        <v>98</v>
      </c>
      <c r="E123" s="4">
        <f t="shared" si="13"/>
        <v>729</v>
      </c>
      <c r="F123" s="4">
        <f t="shared" si="14"/>
        <v>9.3325430079699006E-15</v>
      </c>
      <c r="G123" s="4"/>
      <c r="H123" s="4"/>
      <c r="I123" s="4">
        <v>1002</v>
      </c>
      <c r="J123" s="4">
        <v>2</v>
      </c>
      <c r="K123" s="4">
        <v>-14.03</v>
      </c>
      <c r="L123" s="4">
        <f t="shared" si="15"/>
        <v>9.3325430079699006E-15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s="9" customFormat="1" ht="14.25" customHeight="1" x14ac:dyDescent="0.25">
      <c r="A124" s="4" t="s">
        <v>31</v>
      </c>
      <c r="B124" s="4" t="s">
        <v>15</v>
      </c>
      <c r="C124" s="4" t="s">
        <v>28</v>
      </c>
      <c r="D124" s="8">
        <f t="shared" si="12"/>
        <v>96</v>
      </c>
      <c r="E124" s="4">
        <f t="shared" si="13"/>
        <v>729</v>
      </c>
      <c r="F124" s="4">
        <f t="shared" si="14"/>
        <v>8.5113803820237586E-15</v>
      </c>
      <c r="G124" s="4"/>
      <c r="H124" s="4"/>
      <c r="I124" s="4">
        <v>1002</v>
      </c>
      <c r="J124" s="4">
        <v>4</v>
      </c>
      <c r="K124" s="4">
        <v>-14.07</v>
      </c>
      <c r="L124" s="4">
        <f t="shared" si="15"/>
        <v>8.5113803820237586E-15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s="9" customFormat="1" ht="14.25" customHeight="1" x14ac:dyDescent="0.25">
      <c r="A125" s="4" t="s">
        <v>31</v>
      </c>
      <c r="B125" s="4" t="s">
        <v>15</v>
      </c>
      <c r="C125" s="4" t="s">
        <v>28</v>
      </c>
      <c r="D125" s="8">
        <f t="shared" si="12"/>
        <v>94.015150000000006</v>
      </c>
      <c r="E125" s="4">
        <f t="shared" si="13"/>
        <v>729</v>
      </c>
      <c r="F125" s="4">
        <f t="shared" si="14"/>
        <v>7.5857757502918367E-15</v>
      </c>
      <c r="G125" s="4"/>
      <c r="H125" s="4"/>
      <c r="I125" s="4">
        <v>1002</v>
      </c>
      <c r="J125" s="4">
        <v>5.9848499999999998</v>
      </c>
      <c r="K125" s="4">
        <v>-14.12</v>
      </c>
      <c r="L125" s="4">
        <f t="shared" si="15"/>
        <v>7.5857757502918367E-15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s="9" customFormat="1" ht="14.25" customHeight="1" x14ac:dyDescent="0.25">
      <c r="A126" s="4" t="s">
        <v>31</v>
      </c>
      <c r="B126" s="4" t="s">
        <v>15</v>
      </c>
      <c r="C126" s="4" t="s">
        <v>28</v>
      </c>
      <c r="D126" s="8">
        <f t="shared" si="12"/>
        <v>99.893939000000003</v>
      </c>
      <c r="E126" s="4">
        <f t="shared" si="13"/>
        <v>701</v>
      </c>
      <c r="F126" s="4">
        <f t="shared" si="14"/>
        <v>6.0255958607435399E-15</v>
      </c>
      <c r="G126" s="4"/>
      <c r="H126" s="4"/>
      <c r="I126" s="4">
        <v>974</v>
      </c>
      <c r="J126" s="4">
        <v>0.106061</v>
      </c>
      <c r="K126" s="4">
        <v>-14.22</v>
      </c>
      <c r="L126" s="4">
        <f t="shared" si="15"/>
        <v>6.0255958607435399E-15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s="9" customFormat="1" ht="14.25" customHeight="1" x14ac:dyDescent="0.25">
      <c r="A127" s="4" t="s">
        <v>31</v>
      </c>
      <c r="B127" s="4" t="s">
        <v>15</v>
      </c>
      <c r="C127" s="4" t="s">
        <v>28</v>
      </c>
      <c r="D127" s="8">
        <f t="shared" si="12"/>
        <v>99</v>
      </c>
      <c r="E127" s="4">
        <f t="shared" si="13"/>
        <v>701</v>
      </c>
      <c r="F127" s="4">
        <f t="shared" si="14"/>
        <v>5.1286138399136556E-15</v>
      </c>
      <c r="G127" s="4"/>
      <c r="H127" s="4"/>
      <c r="I127" s="4">
        <v>974</v>
      </c>
      <c r="J127" s="4">
        <v>1</v>
      </c>
      <c r="K127" s="4">
        <v>-14.29</v>
      </c>
      <c r="L127" s="4">
        <f t="shared" si="15"/>
        <v>5.1286138399136556E-15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s="9" customFormat="1" ht="14.25" customHeight="1" x14ac:dyDescent="0.25">
      <c r="A128" s="4" t="s">
        <v>31</v>
      </c>
      <c r="B128" s="4" t="s">
        <v>15</v>
      </c>
      <c r="C128" s="4" t="s">
        <v>28</v>
      </c>
      <c r="D128" s="8">
        <f t="shared" si="12"/>
        <v>98</v>
      </c>
      <c r="E128" s="4">
        <f t="shared" si="13"/>
        <v>701</v>
      </c>
      <c r="F128" s="4">
        <f t="shared" si="14"/>
        <v>4.6773514128719577E-15</v>
      </c>
      <c r="G128" s="4"/>
      <c r="H128" s="4"/>
      <c r="I128" s="4">
        <v>974</v>
      </c>
      <c r="J128" s="4">
        <v>2</v>
      </c>
      <c r="K128" s="4">
        <v>-14.33</v>
      </c>
      <c r="L128" s="4">
        <f t="shared" si="15"/>
        <v>4.6773514128719577E-15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s="9" customFormat="1" ht="14.25" customHeight="1" x14ac:dyDescent="0.25">
      <c r="A129" s="4" t="s">
        <v>31</v>
      </c>
      <c r="B129" s="4" t="s">
        <v>15</v>
      </c>
      <c r="C129" s="4" t="s">
        <v>28</v>
      </c>
      <c r="D129" s="8">
        <f t="shared" si="12"/>
        <v>96</v>
      </c>
      <c r="E129" s="4">
        <f t="shared" si="13"/>
        <v>701</v>
      </c>
      <c r="F129" s="4">
        <f t="shared" si="14"/>
        <v>4.2657951880159061E-15</v>
      </c>
      <c r="G129" s="4"/>
      <c r="H129" s="4"/>
      <c r="I129" s="4">
        <v>974</v>
      </c>
      <c r="J129" s="4">
        <v>4</v>
      </c>
      <c r="K129" s="4">
        <v>-14.37</v>
      </c>
      <c r="L129" s="4">
        <f t="shared" si="15"/>
        <v>4.2657951880159061E-15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s="9" customFormat="1" ht="14.25" customHeight="1" x14ac:dyDescent="0.25">
      <c r="A130" s="4" t="s">
        <v>31</v>
      </c>
      <c r="B130" s="4" t="s">
        <v>15</v>
      </c>
      <c r="C130" s="4" t="s">
        <v>28</v>
      </c>
      <c r="D130" s="8">
        <f t="shared" si="12"/>
        <v>94.015150000000006</v>
      </c>
      <c r="E130" s="4">
        <f t="shared" si="13"/>
        <v>701</v>
      </c>
      <c r="F130" s="4">
        <f t="shared" si="14"/>
        <v>3.6307805477009983E-15</v>
      </c>
      <c r="G130" s="4"/>
      <c r="H130" s="4"/>
      <c r="I130" s="4">
        <v>974</v>
      </c>
      <c r="J130" s="4">
        <v>5.9848499999999998</v>
      </c>
      <c r="K130" s="4">
        <v>-14.44</v>
      </c>
      <c r="L130" s="4">
        <f t="shared" si="15"/>
        <v>3.6307805477009983E-15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s="9" customFormat="1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s="9" customFormat="1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</sheetData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AgCu</vt:lpstr>
      <vt:lpstr>D0 &amp; Q</vt:lpstr>
      <vt:lpstr>AgCu_raw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Butler</dc:creator>
  <cp:lastModifiedBy>ustcw</cp:lastModifiedBy>
  <dcterms:created xsi:type="dcterms:W3CDTF">2021-08-09T19:21:52Z</dcterms:created>
  <dcterms:modified xsi:type="dcterms:W3CDTF">2023-07-05T14:22:49Z</dcterms:modified>
</cp:coreProperties>
</file>